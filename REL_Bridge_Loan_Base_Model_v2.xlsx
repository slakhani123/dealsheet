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Cashflow" sheetId="3" state="visible" r:id="rId5"/>
    <sheet name="Summary &amp; Breakeven" sheetId="4" state="visible" r:id="rId6"/>
    <sheet name="Statement" sheetId="5" state="visible" r:id="rId7"/>
  </sheets>
  <definedNames>
    <definedName function="false" hidden="false" localSheetId="4" name="_xlnm.Print_Area" vbProcedure="false">Statement!$B$1:$H$75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<sst xmlns="http://schemas.openxmlformats.org/spreadsheetml/2006/main" count="260" uniqueCount="227">
  <si>
    <t xml:space="preserve">REL FINANCE</t>
  </si>
  <si>
    <t xml:space="preserve">RELiable capital.  RELationship focused.  RELentless in execution.</t>
  </si>
  <si>
    <t xml:space="preserve">BRIDGE LOAN BASE MODEL</t>
  </si>
  <si>
    <t xml:space="preserve">Whole-loan origination · senior funding · REL junior returns</t>
  </si>
  <si>
    <t xml:space="preserve">DEAL</t>
  </si>
  <si>
    <t xml:space="preserve">Deal Name</t>
  </si>
  <si>
    <t xml:space="preserve">Address</t>
  </si>
  <si>
    <t xml:space="preserve">Asset Class / Loan Type</t>
  </si>
  <si>
    <t xml:space="preserve">Gross Loan</t>
  </si>
  <si>
    <t xml:space="preserve">Term</t>
  </si>
  <si>
    <t xml:space="preserve">HEADLINE RETURNS</t>
  </si>
  <si>
    <t xml:space="preserve">REL Net Profit</t>
  </si>
  <si>
    <t xml:space="preserve">REL IRR</t>
  </si>
  <si>
    <t xml:space="preserve">REL Equity Multiple</t>
  </si>
  <si>
    <t xml:space="preserve">Day-1 LTV / 180-Day LTV</t>
  </si>
  <si>
    <t xml:space="preserve">HOW TO USE</t>
  </si>
  <si>
    <t xml:space="preserve">Blue cells on the Inputs sheet are the only cells to change. All calculations, the monthly cashflow</t>
  </si>
  <si>
    <t xml:space="preserve">ledger, the fee breakdown and the summary &amp; breakeven metrics flow through automatically.</t>
  </si>
  <si>
    <t xml:space="preserve">Interest is actual/365, monthly periods via EDATE. Model supports terms up to 36 months.</t>
  </si>
  <si>
    <t xml:space="preserve">Every fee is a line item in the ledger: arrangement, broker and admin fees and any interest</t>
  </si>
  <si>
    <t xml:space="preserve">reserve appear as day-1 rows; the exit fee and principal redemption are separate rows at maturity.</t>
  </si>
  <si>
    <t xml:space="preserve">A mid-term rate change (base rate reset) can be modelled with the New Rate inputs.</t>
  </si>
  <si>
    <t xml:space="preserve">Cashflow columns B:H are the borrower-facing ledger – copy and paste directly for brokers.</t>
  </si>
  <si>
    <t xml:space="preserve">The Statement tab turns the model into a borrower statement in the REL statement format:</t>
  </si>
  <si>
    <t xml:space="preserve">set the Statement Date and #, then print / PDF the tab. Rows flag Complete or Forecast.</t>
  </si>
  <si>
    <t xml:space="preserve">Save a renamed copy per deal, e.g. [DealName]_Financial_Model.xlsx.</t>
  </si>
  <si>
    <t xml:space="preserve">REL Finance Limited</t>
  </si>
  <si>
    <t xml:space="preserve">27 Hill Street, Mayfair, London, W1J 5LP  ·  info@relfinance.co.uk  ·  relfinance.co.uk</t>
  </si>
  <si>
    <t xml:space="preserve">Registered in England &amp; Wales, company no. 14285643. Registered with the FCA for AML, firm reference 990924.</t>
  </si>
  <si>
    <t xml:space="preserve">Internal underwriting model – for information purposes only; does not constitute investment advice.</t>
  </si>
  <si>
    <t xml:space="preserve">REL FINANCE – BRIDGE LOAN BASE MODEL</t>
  </si>
  <si>
    <t xml:space="preserve">Blue cells = inputs. Black cells = calculated. Change inputs only.</t>
  </si>
  <si>
    <t xml:space="preserve">DEAL INFORMATION</t>
  </si>
  <si>
    <t xml:space="preserve">Housing First Group</t>
  </si>
  <si>
    <t xml:space="preserve">TBC</t>
  </si>
  <si>
    <t xml:space="preserve">Asset Class</t>
  </si>
  <si>
    <t xml:space="preserve">Residential</t>
  </si>
  <si>
    <t xml:space="preserve">Dropdown – drives which breakeven metrics apply</t>
  </si>
  <si>
    <t xml:space="preserve">Loan Type</t>
  </si>
  <si>
    <t xml:space="preserve">Bridge</t>
  </si>
  <si>
    <t xml:space="preserve">Dropdown</t>
  </si>
  <si>
    <t xml:space="preserve">Drawdown Date</t>
  </si>
  <si>
    <t xml:space="preserve">Term (months)</t>
  </si>
  <si>
    <t xml:space="preserve">Change term here – cashflow flexes automatically (max 36)</t>
  </si>
  <si>
    <t xml:space="preserve">WHOLE LOAN TERMS (borrower facing)</t>
  </si>
  <si>
    <t xml:space="preserve">£ amount</t>
  </si>
  <si>
    <t xml:space="preserve">Gross Loan (£)</t>
  </si>
  <si>
    <t xml:space="preserve">Arrangement Fee %</t>
  </si>
  <si>
    <t xml:space="preserve">REL income, deducted from advance on day 1</t>
  </si>
  <si>
    <t xml:space="preserve">Broker Fee %</t>
  </si>
  <si>
    <t xml:space="preserve">Paid away to broker – reduces borrower net advance only, not REL income</t>
  </si>
  <si>
    <t xml:space="preserve">Exit Fee %</t>
  </si>
  <si>
    <t xml:space="preserve">On gross loan, payable at redemption – REL income</t>
  </si>
  <si>
    <t xml:space="preserve">Admin / Other Fee (£)</t>
  </si>
  <si>
    <t xml:space="preserve">Flat fee deducted on day 1 – REL income (0 if none)</t>
  </si>
  <si>
    <t xml:space="preserve">Margin %</t>
  </si>
  <si>
    <t xml:space="preserve">Base Rate %</t>
  </si>
  <si>
    <t xml:space="preserve">Total Interest Rate</t>
  </si>
  <si>
    <t xml:space="preserve">Margin + base</t>
  </si>
  <si>
    <t xml:space="preserve">New Rate % (optional)</t>
  </si>
  <si>
    <t xml:space="preserve">Leave blank unless the rate changes mid-term (e.g. base rate reset)</t>
  </si>
  <si>
    <t xml:space="preserve">New Rate Effective From</t>
  </si>
  <si>
    <t xml:space="preserve">Date the new rate applies from – leave blank if no change</t>
  </si>
  <si>
    <t xml:space="preserve">Interest Treatment</t>
  </si>
  <si>
    <t xml:space="preserve">Serviced Monthly</t>
  </si>
  <si>
    <t xml:space="preserve">Dropdown – Serviced Monthly or Retained (Reserve)</t>
  </si>
  <si>
    <t xml:space="preserve">Interest Reserve (£)</t>
  </si>
  <si>
    <t xml:space="preserve">Gross × headline rate × term/12 if retained – review if using a rate change</t>
  </si>
  <si>
    <t xml:space="preserve">Day-1 Net Advance to Borrower</t>
  </si>
  <si>
    <t xml:space="preserve">Gross less arrangement, broker &amp; admin fees and reserve</t>
  </si>
  <si>
    <t xml:space="preserve">FUNDING STRUCTURE (how REL funds the loan)</t>
  </si>
  <si>
    <t xml:space="preserve">Structure</t>
  </si>
  <si>
    <t xml:space="preserve">Senior Funder + REL Junior</t>
  </si>
  <si>
    <t xml:space="preserve">Dropdown – set to Unlevered (REL 100%) if REL funds the whole loan</t>
  </si>
  <si>
    <t xml:space="preserve">Senior Funder</t>
  </si>
  <si>
    <t xml:space="preserve">GB Bank</t>
  </si>
  <si>
    <t xml:space="preserve">Senior Loan (£)</t>
  </si>
  <si>
    <t xml:space="preserve">Amount raised from senior funder</t>
  </si>
  <si>
    <t xml:space="preserve">Senior Arrangement Fee %</t>
  </si>
  <si>
    <t xml:space="preserve">Cost to REL, paid day 1</t>
  </si>
  <si>
    <t xml:space="preserve">Senior Margin %</t>
  </si>
  <si>
    <t xml:space="preserve">Senior Base Rate %</t>
  </si>
  <si>
    <t xml:space="preserve">Senior Total Rate</t>
  </si>
  <si>
    <t xml:space="preserve">Senior Exit Fee %</t>
  </si>
  <si>
    <t xml:space="preserve">Cost to REL at redemption</t>
  </si>
  <si>
    <t xml:space="preserve">Effective Senior Loan</t>
  </si>
  <si>
    <t xml:space="preserve">Zero if unlevered</t>
  </si>
  <si>
    <t xml:space="preserve">REL Net Capital (junior piece)</t>
  </si>
  <si>
    <t xml:space="preserve">REL money in the deal</t>
  </si>
  <si>
    <t xml:space="preserve">ASSET METRICS</t>
  </si>
  <si>
    <t xml:space="preserve">Market Value (£)</t>
  </si>
  <si>
    <t xml:space="preserve">180-Day / Restricted MV (£)</t>
  </si>
  <si>
    <t xml:space="preserve">Purchase Price (£)</t>
  </si>
  <si>
    <t xml:space="preserve">Leave blank if refinance</t>
  </si>
  <si>
    <t xml:space="preserve">Area (sq ft)</t>
  </si>
  <si>
    <t xml:space="preserve">For breakeven £psf</t>
  </si>
  <si>
    <t xml:space="preserve">No. of Units</t>
  </si>
  <si>
    <t xml:space="preserve">For breakeven per unit (resi blocks)</t>
  </si>
  <si>
    <t xml:space="preserve">No. of Beds / Rooms</t>
  </si>
  <si>
    <t xml:space="preserve">For breakeven per bed (hotels)</t>
  </si>
  <si>
    <t xml:space="preserve">Annual Rent / EBITDA (£)</t>
  </si>
  <si>
    <t xml:space="preserve">For debt yield (income-producing assets)</t>
  </si>
  <si>
    <t xml:space="preserve">MONTHLY CASHFLOW LEDGER – ACT/365</t>
  </si>
  <si>
    <t xml:space="preserve">WHOLE LOAN – BORROWER LEDGER  (copy B:H for broker)</t>
  </si>
  <si>
    <t xml:space="preserve">REL VIEW</t>
  </si>
  <si>
    <t xml:space="preserve">SENIOR FUNDING  (REL as borrower from senior)</t>
  </si>
  <si>
    <t xml:space="preserve">REL FINANCE – NET POSITION</t>
  </si>
  <si>
    <t xml:space="preserve">CALC ENGINE – feeds IRRs (do not edit)</t>
  </si>
  <si>
    <t xml:space="preserve">Mo</t>
  </si>
  <si>
    <t xml:space="preserve">Date</t>
  </si>
  <si>
    <t xml:space="preserve">Details</t>
  </si>
  <si>
    <t xml:space="preserve">Days</t>
  </si>
  <si>
    <t xml:space="preserve">Paid Out (£)</t>
  </si>
  <si>
    <t xml:space="preserve">Interest (£)</t>
  </si>
  <si>
    <t xml:space="preserve">Paid In (£)</t>
  </si>
  <si>
    <t xml:space="preserve">Loan Balance (£)</t>
  </si>
  <si>
    <t xml:space="preserve">Net CF (£)</t>
  </si>
  <si>
    <t xml:space="preserve">Balance (£)</t>
  </si>
  <si>
    <t xml:space="preserve">Net Interest (£)</t>
  </si>
  <si>
    <t xml:space="preserve">REL Capital (£)</t>
  </si>
  <si>
    <t xml:space="preserve">Days @ new</t>
  </si>
  <si>
    <t xml:space="preserve">Whole CF (£)</t>
  </si>
  <si>
    <t xml:space="preserve">REL CF (£)</t>
  </si>
  <si>
    <t xml:space="preserve">Drawdown – gross loan advanced</t>
  </si>
  <si>
    <t xml:space="preserve">Fund whole loan / draw senior</t>
  </si>
  <si>
    <t xml:space="preserve">Arrangement fees: earned less senior AF paid</t>
  </si>
  <si>
    <t xml:space="preserve">Broker fee – collected and paid away (nil to REL)</t>
  </si>
  <si>
    <t xml:space="preserve">Admin / other fee – deducted at source</t>
  </si>
  <si>
    <t xml:space="preserve">Admin fee earned</t>
  </si>
  <si>
    <t xml:space="preserve">Interest reserve retained</t>
  </si>
  <si>
    <t xml:space="preserve">Interest reserve retained by REL</t>
  </si>
  <si>
    <t xml:space="preserve">TOTAL</t>
  </si>
  <si>
    <t xml:space="preserve">Whole Loan Profit (£)</t>
  </si>
  <si>
    <t xml:space="preserve">Whole Loan IRR (unlevered)</t>
  </si>
  <si>
    <t xml:space="preserve">Senior Funding Cost (£)</t>
  </si>
  <si>
    <t xml:space="preserve">REL Net Profit (£)</t>
  </si>
  <si>
    <t xml:space="preserve">REL IRR (on net capital)</t>
  </si>
  <si>
    <t xml:space="preserve">Whole Loan IRR assumes REL funds 100%; REL IRR is geared on net capital after senior funding.</t>
  </si>
  <si>
    <t xml:space="preserve">RETURNS</t>
  </si>
  <si>
    <t xml:space="preserve">Whole Loan Profit</t>
  </si>
  <si>
    <t xml:space="preserve">Whole Loan IRR</t>
  </si>
  <si>
    <t xml:space="preserve">Senior Funding Cost</t>
  </si>
  <si>
    <t xml:space="preserve">REL Net Capital Deployed</t>
  </si>
  <si>
    <t xml:space="preserve">Profit on Capital (undiscounted)</t>
  </si>
  <si>
    <t xml:space="preserve">FEE BREAKDOWN (£)</t>
  </si>
  <si>
    <t xml:space="preserve">Whole Loan</t>
  </si>
  <si>
    <t xml:space="preserve">Senior</t>
  </si>
  <si>
    <t xml:space="preserve">Net to REL</t>
  </si>
  <si>
    <t xml:space="preserve">Arrangement Fee</t>
  </si>
  <si>
    <t xml:space="preserve">Whole-loan AF earned day 1 less senior AF paid</t>
  </si>
  <si>
    <t xml:space="preserve">Broker Fee (paid away)</t>
  </si>
  <si>
    <t xml:space="preserve">Deducted from borrower advance and paid to broker – not REL income</t>
  </si>
  <si>
    <t xml:space="preserve">Admin / Other Fee</t>
  </si>
  <si>
    <t xml:space="preserve">Flat day-1 fee retained by REL</t>
  </si>
  <si>
    <t xml:space="preserve">Exit Fee</t>
  </si>
  <si>
    <t xml:space="preserve">Earned on gross loan at redemption less senior exit fee paid</t>
  </si>
  <si>
    <t xml:space="preserve">Total Fees</t>
  </si>
  <si>
    <t xml:space="preserve">Net fees to REL (excludes broker fee)</t>
  </si>
  <si>
    <t xml:space="preserve">FUNDING ANALYSIS (source of REL return)</t>
  </si>
  <si>
    <t xml:space="preserve">Whole Loan Rate (charged)</t>
  </si>
  <si>
    <t xml:space="preserve">Senior Rate (paid)</t>
  </si>
  <si>
    <t xml:space="preserve">Rate Spread Captured</t>
  </si>
  <si>
    <t xml:space="preserve">REL earns the whole-loan rate on the senior piece funded at the cheaper senior rate</t>
  </si>
  <si>
    <t xml:space="preserve">Senior Leverage (% of whole loan)</t>
  </si>
  <si>
    <t xml:space="preserve">Implied REL Rate on Junior Piece</t>
  </si>
  <si>
    <t xml:space="preserve">Geared running yield before fees</t>
  </si>
  <si>
    <t xml:space="preserve">CREDIT METRICS &amp; LOAN BREAKEVEN</t>
  </si>
  <si>
    <t xml:space="preserve">Redemption Amount (gross + exit fee)</t>
  </si>
  <si>
    <t xml:space="preserve">Breakeven sale proceeds required to repay in full</t>
  </si>
  <si>
    <t xml:space="preserve">Day-1 LTV (gross / MV)</t>
  </si>
  <si>
    <t xml:space="preserve">Gross LTV incl. Exit Fee</t>
  </si>
  <si>
    <t xml:space="preserve">180-Day LTV (redemption / 180d MV)</t>
  </si>
  <si>
    <t xml:space="preserve">Cover under a forced-sale valuation</t>
  </si>
  <si>
    <t xml:space="preserve">LTPP (gross / purchase price)</t>
  </si>
  <si>
    <t xml:space="preserve">Breakeven £ psf</t>
  </si>
  <si>
    <t xml:space="preserve">Residential / commercial / mixed</t>
  </si>
  <si>
    <t xml:space="preserve">Breakeven per Unit</t>
  </si>
  <si>
    <t xml:space="preserve">Multi-unit residential</t>
  </si>
  <si>
    <t xml:space="preserve">Breakeven per Bed / Room</t>
  </si>
  <si>
    <t xml:space="preserve">Hotels / leisure</t>
  </si>
  <si>
    <t xml:space="preserve">Debt Yield (income / loan)</t>
  </si>
  <si>
    <t xml:space="preserve">Income-producing assets / EBITDA debt yield for hotels</t>
  </si>
  <si>
    <t xml:space="preserve">MV Cushion to Breakeven</t>
  </si>
  <si>
    <t xml:space="preserve">% the market value can fall before principal + exit fee is at risk</t>
  </si>
  <si>
    <t xml:space="preserve">REL Finance Limited · 27 Hill Street, Mayfair, London, W1J 5LP · relfinance.co.uk</t>
  </si>
  <si>
    <t xml:space="preserve">LOAN STATEMENT</t>
  </si>
  <si>
    <t xml:space="preserve">27 Hill Street, Mayfair, London, W1J 5LP</t>
  </si>
  <si>
    <t xml:space="preserve">Statement period:</t>
  </si>
  <si>
    <t xml:space="preserve">Blue cells = statement inputs</t>
  </si>
  <si>
    <t xml:space="preserve">Underlying loan:</t>
  </si>
  <si>
    <t xml:space="preserve">STATEMENT DETAILS</t>
  </si>
  <si>
    <t xml:space="preserve">LOAN DETAILS</t>
  </si>
  <si>
    <t xml:space="preserve">REPAYMENT BANK DETAILS</t>
  </si>
  <si>
    <t xml:space="preserve">Statement Date</t>
  </si>
  <si>
    <t xml:space="preserve">Completion Date</t>
  </si>
  <si>
    <t xml:space="preserve">Bank</t>
  </si>
  <si>
    <t xml:space="preserve">Statement #</t>
  </si>
  <si>
    <t xml:space="preserve">Account Name</t>
  </si>
  <si>
    <t xml:space="preserve">Loan Ref #</t>
  </si>
  <si>
    <t xml:space="preserve">End Redemption Date</t>
  </si>
  <si>
    <t xml:space="preserve">Account Number</t>
  </si>
  <si>
    <t xml:space="preserve">Borrower Name</t>
  </si>
  <si>
    <t xml:space="preserve">Housing First Group Ltd</t>
  </si>
  <si>
    <t xml:space="preserve">Sort Code</t>
  </si>
  <si>
    <t xml:space="preserve">Borrower Address</t>
  </si>
  <si>
    <t xml:space="preserve">Interest Rate</t>
  </si>
  <si>
    <t xml:space="preserve">IBAN</t>
  </si>
  <si>
    <t xml:space="preserve">New Rate</t>
  </si>
  <si>
    <t xml:space="preserve">Arrangement Fee (£)</t>
  </si>
  <si>
    <t xml:space="preserve">Broker Fee (£)</t>
  </si>
  <si>
    <t xml:space="preserve">Exit Fee (£)</t>
  </si>
  <si>
    <t xml:space="preserve">STATEMENT SUMMARY</t>
  </si>
  <si>
    <t xml:space="preserve">Original principal loan (£)</t>
  </si>
  <si>
    <t xml:space="preserve">Closing principal loan balance (£)</t>
  </si>
  <si>
    <t xml:space="preserve">Complete rows</t>
  </si>
  <si>
    <t xml:space="preserve">Total paid out (£)</t>
  </si>
  <si>
    <t xml:space="preserve">Fees charged to date (£)</t>
  </si>
  <si>
    <t xml:space="preserve">Forecast rows</t>
  </si>
  <si>
    <t xml:space="preserve">Total interest accrued (£)</t>
  </si>
  <si>
    <t xml:space="preserve">Total paid in (£)</t>
  </si>
  <si>
    <t xml:space="preserve">Net advance – day 1 (£)</t>
  </si>
  <si>
    <t xml:space="preserve">Paid Out</t>
  </si>
  <si>
    <t xml:space="preserve">Interest Accrued</t>
  </si>
  <si>
    <t xml:space="preserve">Paid In</t>
  </si>
  <si>
    <t xml:space="preserve">Principal Loan Balance</t>
  </si>
  <si>
    <t xml:space="preserve">Complete / Forecast</t>
  </si>
  <si>
    <t xml:space="preserve">REL Finance Limited · 27 Hill Street, Mayfair, London, W1J 5LP · info@relfinance.co.uk · relfinance.co.uk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</si>
</sst>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0.00%"/>
    <numFmt numFmtId="167" formatCode="0.00\x"/>
    <numFmt numFmtId="168" formatCode="dd\-mmm\-yy"/>
    <numFmt numFmtId="169" formatCode="0;\-0;\-"/>
    <numFmt numFmtId="170" formatCode="dddd&quot;, &quot;dd\ mmmm\ yyyy"/>
    <numFmt numFmtId="171" formatCode="dd/mm/yyyy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A1A1A"/>
      <name val="Arial"/>
      <family val="0"/>
      <charset val="1"/>
    </font>
    <font>
      <i val="true"/>
      <sz val="10"/>
      <color rgb="FFFE0036"/>
      <name val="Arial"/>
      <family val="0"/>
      <charset val="1"/>
    </font>
    <font>
      <b val="true"/>
      <sz val="16"/>
      <color rgb="FF1A1A1A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FE0036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8"/>
      <color rgb="FF6B6B6B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13"/>
      <color rgb="FFFE0036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b val="true"/>
      <sz val="8"/>
      <color rgb="FF6B6B6B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b val="true"/>
      <sz val="16"/>
      <color rgb="FFFE0036"/>
      <name val="Arial"/>
      <family val="0"/>
      <charset val="1"/>
    </font>
    <font>
      <sz val="9"/>
      <color rgb="FF6B6B6B"/>
      <name val="Arial"/>
      <family val="0"/>
      <charset val="1"/>
    </font>
    <font>
      <i val="true"/>
      <sz val="8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E003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E0036"/>
        <bgColor rgb="FFFF00FF"/>
      </patternFill>
    </fill>
    <fill>
      <patternFill patternType="solid">
        <fgColor rgb="FF1A1A1A"/>
        <bgColor rgb="FF333300"/>
      </patternFill>
    </fill>
    <fill>
      <patternFill patternType="solid">
        <fgColor rgb="FFF5F5F5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FE0036"/>
      </bottom>
      <diagonal/>
    </border>
    <border diagonalUp="false" diagonalDown="false">
      <left/>
      <right/>
      <top/>
      <bottom style="hair">
        <color rgb="FFD9D9D9"/>
      </bottom>
      <diagonal/>
    </border>
    <border diagonalUp="false" diagonalDown="false">
      <left/>
      <right/>
      <top style="double">
        <color rgb="FFFE0036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E003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990360</xdr:colOff>
      <xdr:row>6</xdr:row>
      <xdr:rowOff>37800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66760" y="190440"/>
          <a:ext cx="990360" cy="99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533160</xdr:colOff>
      <xdr:row>2</xdr:row>
      <xdr:rowOff>228240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77840" y="190440"/>
          <a:ext cx="53316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0036"/>
    <pageSetUpPr fitToPage="false"/>
  </sheetPr>
  <dimension ref="B2:C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4"/>
  </cols>
  <sheetData>
    <row r="2" customFormat="false" ht="15" hidden="false" customHeight="true" outlineLevel="0" collapsed="false"/>
    <row r="3" customFormat="false" ht="15" hidden="false" customHeight="true" outlineLevel="0" collapsed="false"/>
    <row r="4" customFormat="false" ht="15" hidden="false" customHeight="true" outlineLevel="0" collapsed="false"/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9" customFormat="false" ht="29.15" hidden="false" customHeight="false" outlineLevel="0" collapsed="false">
      <c r="B9" s="1" t="s">
        <v>0</v>
      </c>
    </row>
    <row r="10" customFormat="false" ht="15" hidden="false" customHeight="false" outlineLevel="0" collapsed="false">
      <c r="B10" s="2" t="s">
        <v>1</v>
      </c>
    </row>
    <row r="13" customFormat="false" ht="19.7" hidden="false" customHeight="false" outlineLevel="0" collapsed="false">
      <c r="B13" s="3" t="s">
        <v>2</v>
      </c>
    </row>
    <row r="14" customFormat="false" ht="15" hidden="false" customHeight="false" outlineLevel="0" collapsed="false">
      <c r="B14" s="4" t="s">
        <v>3</v>
      </c>
    </row>
    <row r="17" customFormat="false" ht="15" hidden="false" customHeight="false" outlineLevel="0" collapsed="false">
      <c r="B17" s="5" t="s">
        <v>4</v>
      </c>
    </row>
    <row r="18" customFormat="false" ht="15" hidden="false" customHeight="false" outlineLevel="0" collapsed="false">
      <c r="B18" s="6" t="s">
        <v>5</v>
      </c>
      <c r="C18" s="7" t="str">
        <f aca="false">Inputs!C6</f>
        <v>Housing First Group</v>
      </c>
    </row>
    <row r="19" customFormat="false" ht="15" hidden="false" customHeight="false" outlineLevel="0" collapsed="false">
      <c r="B19" s="6" t="s">
        <v>6</v>
      </c>
      <c r="C19" s="7" t="str">
        <f aca="false">Inputs!C7</f>
        <v>TBC</v>
      </c>
    </row>
    <row r="20" customFormat="false" ht="15" hidden="false" customHeight="false" outlineLevel="0" collapsed="false">
      <c r="B20" s="6" t="s">
        <v>7</v>
      </c>
      <c r="C20" s="7" t="str">
        <f aca="false">Inputs!C8&amp;" | "&amp;Inputs!C9</f>
        <v>Residential | Bridge</v>
      </c>
    </row>
    <row r="21" customFormat="false" ht="15" hidden="false" customHeight="false" outlineLevel="0" collapsed="false">
      <c r="B21" s="6" t="s">
        <v>8</v>
      </c>
      <c r="C21" s="8" t="n">
        <f aca="false">Inputs!C14</f>
        <v>3700000</v>
      </c>
    </row>
    <row r="22" customFormat="false" ht="15" hidden="false" customHeight="false" outlineLevel="0" collapsed="false">
      <c r="B22" s="6" t="s">
        <v>9</v>
      </c>
      <c r="C22" s="7" t="str">
        <f aca="false">TEXT(Inputs!C11,"0")&amp;" months from "&amp;TEXT(Inputs!C10,"dd-mmm-yy")</f>
        <v>24 months from 01-Aug-26</v>
      </c>
    </row>
    <row r="25" customFormat="false" ht="15" hidden="false" customHeight="false" outlineLevel="0" collapsed="false">
      <c r="B25" s="5" t="s">
        <v>10</v>
      </c>
    </row>
    <row r="26" customFormat="false" ht="15" hidden="false" customHeight="false" outlineLevel="0" collapsed="false">
      <c r="B26" s="6" t="s">
        <v>11</v>
      </c>
      <c r="C26" s="9" t="n">
        <f aca="false">'Summary &amp; Breakeven'!C9</f>
        <v>324111.130136986</v>
      </c>
    </row>
    <row r="27" customFormat="false" ht="15" hidden="false" customHeight="false" outlineLevel="0" collapsed="false">
      <c r="B27" s="6" t="s">
        <v>12</v>
      </c>
      <c r="C27" s="10" t="n">
        <f aca="false">'Summary &amp; Breakeven'!C10</f>
        <v>0.188813541490083</v>
      </c>
    </row>
    <row r="28" customFormat="false" ht="15" hidden="false" customHeight="false" outlineLevel="0" collapsed="false">
      <c r="B28" s="6" t="s">
        <v>13</v>
      </c>
      <c r="C28" s="11" t="n">
        <f aca="false">'Summary &amp; Breakeven'!C11</f>
        <v>1.35937478047067</v>
      </c>
    </row>
    <row r="29" customFormat="false" ht="15" hidden="false" customHeight="false" outlineLevel="0" collapsed="false">
      <c r="B29" s="6" t="s">
        <v>14</v>
      </c>
      <c r="C29" s="12" t="str">
        <f aca="false">TEXT('Summary &amp; Breakeven'!C33,"0.0%")&amp;" / "&amp;TEXT('Summary &amp; Breakeven'!C35,"0.0%")</f>
        <v>59.9% / 85.8%</v>
      </c>
    </row>
    <row r="32" customFormat="false" ht="15" hidden="false" customHeight="false" outlineLevel="0" collapsed="false">
      <c r="B32" s="5" t="s">
        <v>15</v>
      </c>
    </row>
    <row r="33" customFormat="false" ht="15" hidden="false" customHeight="false" outlineLevel="0" collapsed="false">
      <c r="B33" s="13" t="s">
        <v>16</v>
      </c>
    </row>
    <row r="34" customFormat="false" ht="15" hidden="false" customHeight="false" outlineLevel="0" collapsed="false">
      <c r="B34" s="13" t="s">
        <v>17</v>
      </c>
    </row>
    <row r="35" customFormat="false" ht="15" hidden="false" customHeight="false" outlineLevel="0" collapsed="false">
      <c r="B35" s="13" t="s">
        <v>18</v>
      </c>
    </row>
    <row r="36" customFormat="false" ht="15" hidden="false" customHeight="false" outlineLevel="0" collapsed="false">
      <c r="B36" s="13" t="s">
        <v>19</v>
      </c>
    </row>
    <row r="37" customFormat="false" ht="15" hidden="false" customHeight="false" outlineLevel="0" collapsed="false">
      <c r="B37" s="13" t="s">
        <v>20</v>
      </c>
    </row>
    <row r="38" customFormat="false" ht="15" hidden="false" customHeight="false" outlineLevel="0" collapsed="false">
      <c r="B38" s="13" t="s">
        <v>21</v>
      </c>
    </row>
    <row r="39" customFormat="false" ht="15" hidden="false" customHeight="false" outlineLevel="0" collapsed="false">
      <c r="B39" s="13" t="s">
        <v>22</v>
      </c>
    </row>
    <row r="40" customFormat="false" ht="15" hidden="false" customHeight="false" outlineLevel="0" collapsed="false">
      <c r="B40" s="13" t="s">
        <v>23</v>
      </c>
    </row>
    <row r="41" customFormat="false" ht="15" hidden="false" customHeight="false" outlineLevel="0" collapsed="false">
      <c r="B41" s="13" t="s">
        <v>24</v>
      </c>
    </row>
    <row r="42" customFormat="false" ht="15" hidden="false" customHeight="false" outlineLevel="0" collapsed="false">
      <c r="B42" s="13" t="s">
        <v>25</v>
      </c>
    </row>
    <row r="45" customFormat="false" ht="15" hidden="false" customHeight="false" outlineLevel="0" collapsed="false">
      <c r="B45" s="14" t="s">
        <v>26</v>
      </c>
    </row>
    <row r="46" customFormat="false" ht="15" hidden="false" customHeight="false" outlineLevel="0" collapsed="false">
      <c r="B46" s="15" t="s">
        <v>27</v>
      </c>
    </row>
    <row r="47" customFormat="false" ht="15" hidden="false" customHeight="false" outlineLevel="0" collapsed="false">
      <c r="B47" s="15" t="s">
        <v>28</v>
      </c>
    </row>
    <row r="48" customFormat="false" ht="15" hidden="false" customHeight="false" outlineLevel="0" collapsed="false">
      <c r="B48" s="1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0036"/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56"/>
  </cols>
  <sheetData>
    <row r="2" customFormat="false" ht="16.15" hidden="false" customHeight="false" outlineLevel="0" collapsed="false">
      <c r="B2" s="17" t="s">
        <v>30</v>
      </c>
    </row>
    <row r="3" customFormat="false" ht="15" hidden="false" customHeight="false" outlineLevel="0" collapsed="false">
      <c r="B3" s="18" t="s">
        <v>31</v>
      </c>
    </row>
    <row r="5" customFormat="false" ht="15" hidden="false" customHeight="false" outlineLevel="0" collapsed="false">
      <c r="B5" s="19" t="s">
        <v>32</v>
      </c>
      <c r="C5" s="20"/>
      <c r="D5" s="20"/>
      <c r="E5" s="20"/>
    </row>
    <row r="6" customFormat="false" ht="15" hidden="false" customHeight="false" outlineLevel="0" collapsed="false">
      <c r="B6" s="7" t="s">
        <v>5</v>
      </c>
      <c r="C6" s="21" t="s">
        <v>33</v>
      </c>
      <c r="D6" s="22"/>
      <c r="E6" s="22"/>
    </row>
    <row r="7" customFormat="false" ht="15" hidden="false" customHeight="false" outlineLevel="0" collapsed="false">
      <c r="B7" s="7" t="s">
        <v>6</v>
      </c>
      <c r="C7" s="21" t="s">
        <v>34</v>
      </c>
      <c r="D7" s="22"/>
      <c r="E7" s="22"/>
    </row>
    <row r="8" customFormat="false" ht="15" hidden="false" customHeight="false" outlineLevel="0" collapsed="false">
      <c r="B8" s="7" t="s">
        <v>35</v>
      </c>
      <c r="C8" s="21" t="s">
        <v>36</v>
      </c>
      <c r="D8" s="22"/>
      <c r="E8" s="23" t="s">
        <v>37</v>
      </c>
    </row>
    <row r="9" customFormat="false" ht="15" hidden="false" customHeight="false" outlineLevel="0" collapsed="false">
      <c r="B9" s="7" t="s">
        <v>38</v>
      </c>
      <c r="C9" s="21" t="s">
        <v>39</v>
      </c>
      <c r="D9" s="22"/>
      <c r="E9" s="23" t="s">
        <v>40</v>
      </c>
    </row>
    <row r="10" customFormat="false" ht="15" hidden="false" customHeight="false" outlineLevel="0" collapsed="false">
      <c r="B10" s="7" t="s">
        <v>41</v>
      </c>
      <c r="C10" s="24" t="n">
        <v>46235</v>
      </c>
      <c r="D10" s="22"/>
      <c r="E10" s="22"/>
    </row>
    <row r="11" customFormat="false" ht="15" hidden="false" customHeight="false" outlineLevel="0" collapsed="false">
      <c r="B11" s="7" t="s">
        <v>42</v>
      </c>
      <c r="C11" s="25" t="n">
        <v>24</v>
      </c>
      <c r="D11" s="22"/>
      <c r="E11" s="23" t="s">
        <v>43</v>
      </c>
    </row>
    <row r="13" customFormat="false" ht="15" hidden="false" customHeight="false" outlineLevel="0" collapsed="false">
      <c r="B13" s="19" t="s">
        <v>44</v>
      </c>
      <c r="C13" s="20"/>
      <c r="D13" s="26" t="s">
        <v>45</v>
      </c>
      <c r="E13" s="20"/>
    </row>
    <row r="14" customFormat="false" ht="15" hidden="false" customHeight="false" outlineLevel="0" collapsed="false">
      <c r="B14" s="7" t="s">
        <v>46</v>
      </c>
      <c r="C14" s="27" t="n">
        <v>3700000</v>
      </c>
      <c r="D14" s="22"/>
      <c r="E14" s="22"/>
    </row>
    <row r="15" customFormat="false" ht="15" hidden="false" customHeight="false" outlineLevel="0" collapsed="false">
      <c r="B15" s="7" t="s">
        <v>47</v>
      </c>
      <c r="C15" s="28" t="n">
        <v>0.01</v>
      </c>
      <c r="D15" s="29" t="n">
        <f aca="false">C14*C15</f>
        <v>37000</v>
      </c>
      <c r="E15" s="23" t="s">
        <v>48</v>
      </c>
    </row>
    <row r="16" customFormat="false" ht="15" hidden="false" customHeight="false" outlineLevel="0" collapsed="false">
      <c r="B16" s="7" t="s">
        <v>49</v>
      </c>
      <c r="C16" s="28" t="n">
        <v>0</v>
      </c>
      <c r="D16" s="29" t="n">
        <f aca="false">C14*C16</f>
        <v>0</v>
      </c>
      <c r="E16" s="23" t="s">
        <v>50</v>
      </c>
    </row>
    <row r="17" customFormat="false" ht="15" hidden="false" customHeight="false" outlineLevel="0" collapsed="false">
      <c r="B17" s="7" t="s">
        <v>51</v>
      </c>
      <c r="C17" s="28" t="n">
        <v>0.01</v>
      </c>
      <c r="D17" s="29" t="n">
        <f aca="false">C14*C17</f>
        <v>37000</v>
      </c>
      <c r="E17" s="23" t="s">
        <v>52</v>
      </c>
    </row>
    <row r="18" customFormat="false" ht="15" hidden="false" customHeight="false" outlineLevel="0" collapsed="false">
      <c r="B18" s="7" t="s">
        <v>53</v>
      </c>
      <c r="C18" s="27" t="n">
        <v>0</v>
      </c>
      <c r="D18" s="22"/>
      <c r="E18" s="23" t="s">
        <v>54</v>
      </c>
    </row>
    <row r="19" customFormat="false" ht="15" hidden="false" customHeight="false" outlineLevel="0" collapsed="false">
      <c r="B19" s="7" t="s">
        <v>55</v>
      </c>
      <c r="C19" s="28" t="n">
        <v>0.045</v>
      </c>
      <c r="D19" s="22"/>
      <c r="E19" s="22"/>
    </row>
    <row r="20" customFormat="false" ht="15" hidden="false" customHeight="false" outlineLevel="0" collapsed="false">
      <c r="B20" s="7" t="s">
        <v>56</v>
      </c>
      <c r="C20" s="28" t="n">
        <v>0.0375</v>
      </c>
      <c r="D20" s="22"/>
      <c r="E20" s="22"/>
    </row>
    <row r="21" customFormat="false" ht="15" hidden="false" customHeight="false" outlineLevel="0" collapsed="false">
      <c r="B21" s="7" t="s">
        <v>57</v>
      </c>
      <c r="C21" s="30" t="n">
        <f aca="false">C19+C20</f>
        <v>0.0825</v>
      </c>
      <c r="D21" s="22"/>
      <c r="E21" s="23" t="s">
        <v>58</v>
      </c>
    </row>
    <row r="22" customFormat="false" ht="15" hidden="false" customHeight="false" outlineLevel="0" collapsed="false">
      <c r="B22" s="7" t="s">
        <v>59</v>
      </c>
      <c r="C22" s="28"/>
      <c r="D22" s="22"/>
      <c r="E22" s="23" t="s">
        <v>60</v>
      </c>
    </row>
    <row r="23" customFormat="false" ht="15" hidden="false" customHeight="false" outlineLevel="0" collapsed="false">
      <c r="B23" s="7" t="s">
        <v>61</v>
      </c>
      <c r="C23" s="24"/>
      <c r="D23" s="22"/>
      <c r="E23" s="23" t="s">
        <v>62</v>
      </c>
    </row>
    <row r="24" customFormat="false" ht="15" hidden="false" customHeight="false" outlineLevel="0" collapsed="false">
      <c r="B24" s="7" t="s">
        <v>63</v>
      </c>
      <c r="C24" s="21" t="s">
        <v>64</v>
      </c>
      <c r="D24" s="22"/>
      <c r="E24" s="23" t="s">
        <v>65</v>
      </c>
    </row>
    <row r="25" customFormat="false" ht="15" hidden="false" customHeight="false" outlineLevel="0" collapsed="false">
      <c r="B25" s="7" t="s">
        <v>66</v>
      </c>
      <c r="C25" s="29" t="n">
        <f aca="false">IF(C24="Retained (Reserve)",C14*C21*C11/12,0)</f>
        <v>0</v>
      </c>
      <c r="D25" s="22"/>
      <c r="E25" s="23" t="s">
        <v>67</v>
      </c>
    </row>
    <row r="26" customFormat="false" ht="15" hidden="false" customHeight="false" outlineLevel="0" collapsed="false">
      <c r="B26" s="7" t="s">
        <v>68</v>
      </c>
      <c r="C26" s="29" t="n">
        <f aca="false">C14-D15-D16-C18-C25</f>
        <v>3663000</v>
      </c>
      <c r="D26" s="22"/>
      <c r="E26" s="23" t="s">
        <v>69</v>
      </c>
    </row>
    <row r="28" customFormat="false" ht="15" hidden="false" customHeight="false" outlineLevel="0" collapsed="false">
      <c r="B28" s="19" t="s">
        <v>70</v>
      </c>
      <c r="C28" s="20"/>
      <c r="D28" s="20"/>
      <c r="E28" s="20"/>
    </row>
    <row r="29" customFormat="false" ht="15" hidden="false" customHeight="false" outlineLevel="0" collapsed="false">
      <c r="B29" s="7" t="s">
        <v>71</v>
      </c>
      <c r="C29" s="21" t="s">
        <v>72</v>
      </c>
      <c r="D29" s="22"/>
      <c r="E29" s="23" t="s">
        <v>73</v>
      </c>
    </row>
    <row r="30" customFormat="false" ht="15" hidden="false" customHeight="false" outlineLevel="0" collapsed="false">
      <c r="B30" s="7" t="s">
        <v>74</v>
      </c>
      <c r="C30" s="21" t="s">
        <v>75</v>
      </c>
      <c r="D30" s="22"/>
      <c r="E30" s="22"/>
    </row>
    <row r="31" customFormat="false" ht="15" hidden="false" customHeight="false" outlineLevel="0" collapsed="false">
      <c r="B31" s="7" t="s">
        <v>76</v>
      </c>
      <c r="C31" s="27" t="n">
        <v>2775000</v>
      </c>
      <c r="D31" s="22"/>
      <c r="E31" s="23" t="s">
        <v>77</v>
      </c>
    </row>
    <row r="32" customFormat="false" ht="15" hidden="false" customHeight="false" outlineLevel="0" collapsed="false">
      <c r="B32" s="7" t="s">
        <v>78</v>
      </c>
      <c r="C32" s="28" t="n">
        <v>0.005</v>
      </c>
      <c r="D32" s="29" t="n">
        <f aca="false">C37*C32</f>
        <v>13875</v>
      </c>
      <c r="E32" s="23" t="s">
        <v>79</v>
      </c>
    </row>
    <row r="33" customFormat="false" ht="15" hidden="false" customHeight="false" outlineLevel="0" collapsed="false">
      <c r="B33" s="7" t="s">
        <v>80</v>
      </c>
      <c r="C33" s="28" t="n">
        <v>0.025</v>
      </c>
      <c r="D33" s="22"/>
      <c r="E33" s="22"/>
    </row>
    <row r="34" customFormat="false" ht="15" hidden="false" customHeight="false" outlineLevel="0" collapsed="false">
      <c r="B34" s="7" t="s">
        <v>81</v>
      </c>
      <c r="C34" s="28" t="n">
        <v>0.0375</v>
      </c>
      <c r="D34" s="22"/>
      <c r="E34" s="22"/>
    </row>
    <row r="35" customFormat="false" ht="15" hidden="false" customHeight="false" outlineLevel="0" collapsed="false">
      <c r="B35" s="7" t="s">
        <v>82</v>
      </c>
      <c r="C35" s="30" t="n">
        <f aca="false">C33+C34</f>
        <v>0.0625</v>
      </c>
      <c r="D35" s="22"/>
      <c r="E35" s="22"/>
    </row>
    <row r="36" customFormat="false" ht="15" hidden="false" customHeight="false" outlineLevel="0" collapsed="false">
      <c r="B36" s="7" t="s">
        <v>83</v>
      </c>
      <c r="C36" s="28" t="n">
        <v>0</v>
      </c>
      <c r="D36" s="29" t="n">
        <f aca="false">C37*C36</f>
        <v>0</v>
      </c>
      <c r="E36" s="23" t="s">
        <v>84</v>
      </c>
    </row>
    <row r="37" customFormat="false" ht="15" hidden="false" customHeight="false" outlineLevel="0" collapsed="false">
      <c r="B37" s="7" t="s">
        <v>85</v>
      </c>
      <c r="C37" s="29" t="n">
        <f aca="false">IF(C29="Unlevered (REL 100%)",0,MIN(C31,C14))</f>
        <v>2775000</v>
      </c>
      <c r="D37" s="22"/>
      <c r="E37" s="23" t="s">
        <v>86</v>
      </c>
    </row>
    <row r="38" customFormat="false" ht="15" hidden="false" customHeight="false" outlineLevel="0" collapsed="false">
      <c r="B38" s="7" t="s">
        <v>87</v>
      </c>
      <c r="C38" s="29" t="n">
        <f aca="false">C14-C37</f>
        <v>925000</v>
      </c>
      <c r="D38" s="22"/>
      <c r="E38" s="23" t="s">
        <v>88</v>
      </c>
    </row>
    <row r="40" customFormat="false" ht="15" hidden="false" customHeight="false" outlineLevel="0" collapsed="false">
      <c r="B40" s="19" t="s">
        <v>89</v>
      </c>
      <c r="C40" s="20"/>
      <c r="D40" s="20"/>
      <c r="E40" s="20"/>
    </row>
    <row r="41" customFormat="false" ht="15" hidden="false" customHeight="false" outlineLevel="0" collapsed="false">
      <c r="B41" s="7" t="s">
        <v>90</v>
      </c>
      <c r="C41" s="27" t="n">
        <v>6175000</v>
      </c>
      <c r="D41" s="22"/>
      <c r="E41" s="22"/>
    </row>
    <row r="42" customFormat="false" ht="15" hidden="false" customHeight="false" outlineLevel="0" collapsed="false">
      <c r="B42" s="7" t="s">
        <v>91</v>
      </c>
      <c r="C42" s="27" t="n">
        <v>4355000</v>
      </c>
      <c r="D42" s="22"/>
      <c r="E42" s="22"/>
    </row>
    <row r="43" customFormat="false" ht="15" hidden="false" customHeight="false" outlineLevel="0" collapsed="false">
      <c r="B43" s="7" t="s">
        <v>92</v>
      </c>
      <c r="C43" s="27" t="n">
        <v>4200000</v>
      </c>
      <c r="D43" s="22"/>
      <c r="E43" s="23" t="s">
        <v>93</v>
      </c>
    </row>
    <row r="44" customFormat="false" ht="15" hidden="false" customHeight="false" outlineLevel="0" collapsed="false">
      <c r="B44" s="7" t="s">
        <v>94</v>
      </c>
      <c r="C44" s="25"/>
      <c r="D44" s="22"/>
      <c r="E44" s="23" t="s">
        <v>95</v>
      </c>
    </row>
    <row r="45" customFormat="false" ht="15" hidden="false" customHeight="false" outlineLevel="0" collapsed="false">
      <c r="B45" s="7" t="s">
        <v>96</v>
      </c>
      <c r="C45" s="25" t="n">
        <v>16</v>
      </c>
      <c r="D45" s="22"/>
      <c r="E45" s="23" t="s">
        <v>97</v>
      </c>
    </row>
    <row r="46" customFormat="false" ht="15" hidden="false" customHeight="false" outlineLevel="0" collapsed="false">
      <c r="B46" s="7" t="s">
        <v>98</v>
      </c>
      <c r="C46" s="25" t="n">
        <v>0</v>
      </c>
      <c r="D46" s="22"/>
      <c r="E46" s="23" t="s">
        <v>99</v>
      </c>
    </row>
    <row r="47" customFormat="false" ht="15" hidden="false" customHeight="false" outlineLevel="0" collapsed="false">
      <c r="B47" s="7" t="s">
        <v>100</v>
      </c>
      <c r="C47" s="27" t="n">
        <v>461452</v>
      </c>
      <c r="D47" s="22"/>
      <c r="E47" s="23" t="s">
        <v>101</v>
      </c>
    </row>
  </sheetData>
  <dataValidations count="4">
    <dataValidation allowBlank="true" errorStyle="stop" operator="between" showDropDown="false" showErrorMessage="false" showInputMessage="false" sqref="C8" type="list">
      <formula1>"Residential,Commercial,Mixed-Use,Office,Industrial,Hotel / Leisure,Land"</formula1>
      <formula2>0</formula2>
    </dataValidation>
    <dataValidation allowBlank="true" errorStyle="stop" operator="between" showDropDown="false" showErrorMessage="false" showInputMessage="false" sqref="C9" type="list">
      <formula1>"Bridge,Development,Refurbishment,Mezzanine,Term"</formula1>
      <formula2>0</formula2>
    </dataValidation>
    <dataValidation allowBlank="true" errorStyle="stop" operator="between" showDropDown="false" showErrorMessage="false" showInputMessage="false" sqref="C24" type="list">
      <formula1>"Serviced Monthly,Retained (Reserve)"</formula1>
      <formula2>0</formula2>
    </dataValidation>
    <dataValidation allowBlank="true" errorStyle="stop" operator="between" showDropDown="false" showErrorMessage="false" showInputMessage="false" sqref="C29" type="list">
      <formula1>"Senior Funder + REL Junior,Unlevered (REL 100%)"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0036"/>
    <pageSetUpPr fitToPage="false"/>
  </sheetPr>
  <dimension ref="A1:AB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34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6" min="14" style="0" width="13"/>
    <col collapsed="false" customWidth="true" hidden="false" outlineLevel="0" max="17" min="17" style="0" width="2"/>
    <col collapsed="false" customWidth="true" hidden="false" outlineLevel="0" max="18" min="18" style="0" width="34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3" min="21" style="0" width="13"/>
    <col collapsed="false" customWidth="true" hidden="false" outlineLevel="0" max="24" min="24" style="0" width="8"/>
    <col collapsed="false" customWidth="true" hidden="false" outlineLevel="0" max="25" min="25" style="0" width="2"/>
    <col collapsed="false" customWidth="true" hidden="false" outlineLevel="0" max="26" min="26" style="0" width="11"/>
    <col collapsed="false" customWidth="true" hidden="false" outlineLevel="0" max="28" min="27" style="0" width="13"/>
  </cols>
  <sheetData>
    <row r="1" customFormat="false" ht="16.15" hidden="false" customHeight="false" outlineLevel="0" collapsed="false">
      <c r="B1" s="17" t="s">
        <v>102</v>
      </c>
    </row>
    <row r="2" customFormat="false" ht="15" hidden="false" customHeight="false" outlineLevel="0" collapsed="false">
      <c r="B2" s="31" t="str">
        <f aca="false">Inputs!C6&amp;"  |  "&amp;Inputs!C8&amp;"  |  Term: "&amp;Inputs!C11&amp;" months"</f>
        <v>Housing First Group  |  Residential  |  Term: 24 months</v>
      </c>
    </row>
    <row r="4" customFormat="false" ht="15" hidden="false" customHeight="false" outlineLevel="0" collapsed="false">
      <c r="B4" s="19" t="s">
        <v>103</v>
      </c>
      <c r="C4" s="20"/>
      <c r="D4" s="20"/>
      <c r="E4" s="20"/>
      <c r="F4" s="20"/>
      <c r="G4" s="20"/>
      <c r="H4" s="20"/>
      <c r="I4" s="32" t="s">
        <v>104</v>
      </c>
      <c r="K4" s="19" t="s">
        <v>105</v>
      </c>
      <c r="L4" s="20"/>
      <c r="M4" s="20"/>
      <c r="N4" s="20"/>
      <c r="O4" s="20"/>
      <c r="P4" s="20"/>
      <c r="R4" s="19" t="s">
        <v>106</v>
      </c>
      <c r="S4" s="20"/>
      <c r="T4" s="20"/>
      <c r="U4" s="20"/>
      <c r="V4" s="20"/>
      <c r="W4" s="20"/>
      <c r="X4" s="33"/>
      <c r="Z4" s="34" t="s">
        <v>107</v>
      </c>
    </row>
    <row r="5" customFormat="false" ht="15" hidden="false" customHeight="false" outlineLevel="0" collapsed="false">
      <c r="A5" s="35" t="s">
        <v>108</v>
      </c>
      <c r="B5" s="35" t="s">
        <v>109</v>
      </c>
      <c r="C5" s="36" t="s">
        <v>110</v>
      </c>
      <c r="D5" s="35" t="s">
        <v>111</v>
      </c>
      <c r="E5" s="37" t="s">
        <v>112</v>
      </c>
      <c r="F5" s="37" t="s">
        <v>113</v>
      </c>
      <c r="G5" s="37" t="s">
        <v>114</v>
      </c>
      <c r="H5" s="37" t="s">
        <v>115</v>
      </c>
      <c r="I5" s="37" t="s">
        <v>116</v>
      </c>
      <c r="K5" s="36" t="s">
        <v>110</v>
      </c>
      <c r="L5" s="37" t="s">
        <v>112</v>
      </c>
      <c r="M5" s="37" t="s">
        <v>113</v>
      </c>
      <c r="N5" s="37" t="s">
        <v>114</v>
      </c>
      <c r="O5" s="37" t="s">
        <v>117</v>
      </c>
      <c r="P5" s="37" t="s">
        <v>116</v>
      </c>
      <c r="R5" s="36" t="s">
        <v>110</v>
      </c>
      <c r="S5" s="37" t="s">
        <v>112</v>
      </c>
      <c r="T5" s="37" t="s">
        <v>118</v>
      </c>
      <c r="U5" s="37" t="s">
        <v>114</v>
      </c>
      <c r="V5" s="37" t="s">
        <v>119</v>
      </c>
      <c r="W5" s="37" t="s">
        <v>116</v>
      </c>
      <c r="X5" s="38" t="s">
        <v>120</v>
      </c>
      <c r="Z5" s="38" t="s">
        <v>109</v>
      </c>
      <c r="AA5" s="38" t="s">
        <v>121</v>
      </c>
      <c r="AB5" s="38" t="s">
        <v>122</v>
      </c>
    </row>
    <row r="6" customFormat="false" ht="15" hidden="false" customHeight="false" outlineLevel="0" collapsed="false">
      <c r="A6" s="39" t="n">
        <v>0</v>
      </c>
      <c r="B6" s="40" t="n">
        <f aca="false">Inputs!$C$10</f>
        <v>46235</v>
      </c>
      <c r="C6" s="41" t="s">
        <v>123</v>
      </c>
      <c r="D6" s="42"/>
      <c r="E6" s="43" t="n">
        <f aca="false">Inputs!$C$14</f>
        <v>3700000</v>
      </c>
      <c r="F6" s="43" t="n">
        <v>0</v>
      </c>
      <c r="G6" s="43" t="n">
        <v>0</v>
      </c>
      <c r="H6" s="43" t="n">
        <f aca="false">Inputs!$C$14</f>
        <v>3700000</v>
      </c>
      <c r="I6" s="43" t="n">
        <f aca="false">-Inputs!$C$14</f>
        <v>-3700000</v>
      </c>
      <c r="K6" s="41" t="str">
        <f aca="false">"Senior drawdown from "&amp;Inputs!$C$30</f>
        <v>Senior drawdown from GB Bank</v>
      </c>
      <c r="L6" s="43" t="n">
        <v>0</v>
      </c>
      <c r="M6" s="43" t="n">
        <v>0</v>
      </c>
      <c r="N6" s="43" t="n">
        <f aca="false">Inputs!$C$37</f>
        <v>2775000</v>
      </c>
      <c r="O6" s="43" t="n">
        <f aca="false">Inputs!$C$37</f>
        <v>2775000</v>
      </c>
      <c r="P6" s="43" t="n">
        <f aca="false">N6-L6</f>
        <v>2775000</v>
      </c>
      <c r="R6" s="41" t="s">
        <v>124</v>
      </c>
      <c r="S6" s="43" t="n">
        <f aca="false">Inputs!$C$14</f>
        <v>3700000</v>
      </c>
      <c r="T6" s="43" t="n">
        <v>0</v>
      </c>
      <c r="U6" s="43" t="n">
        <f aca="false">Inputs!$C$37</f>
        <v>2775000</v>
      </c>
      <c r="V6" s="43" t="n">
        <f aca="false">Inputs!$C$38</f>
        <v>925000</v>
      </c>
      <c r="W6" s="43" t="n">
        <f aca="false">U6-S6</f>
        <v>-925000</v>
      </c>
      <c r="Z6" s="44" t="n">
        <f aca="false">EDATE(Inputs!$C$10,0)</f>
        <v>46235</v>
      </c>
      <c r="AA6" s="45" t="n">
        <f aca="false">-(Inputs!$C$14-Inputs!$D$15-Inputs!$C$18-Inputs!$C$25)</f>
        <v>-3663000</v>
      </c>
      <c r="AB6" s="45" t="n">
        <f aca="false">AA6+Inputs!$C$37-Inputs!$D$32</f>
        <v>-901875</v>
      </c>
    </row>
    <row r="7" customFormat="false" ht="15" hidden="false" customHeight="false" outlineLevel="0" collapsed="false">
      <c r="A7" s="39"/>
      <c r="B7" s="40" t="n">
        <f aca="false">Inputs!$C$10</f>
        <v>46235</v>
      </c>
      <c r="C7" s="41" t="str">
        <f aca="false">"Arrangement fee ("&amp;TEXT(Inputs!$C$15,"0.00%")&amp;") – deducted at source"</f>
        <v>Arrangement fee (1.00%) – deducted at source</v>
      </c>
      <c r="D7" s="42"/>
      <c r="E7" s="43" t="n">
        <v>0</v>
      </c>
      <c r="F7" s="43" t="n">
        <v>0</v>
      </c>
      <c r="G7" s="43" t="n">
        <f aca="false">Inputs!$D$15</f>
        <v>37000</v>
      </c>
      <c r="H7" s="43" t="n">
        <f aca="false">Inputs!$C$14</f>
        <v>3700000</v>
      </c>
      <c r="I7" s="43" t="n">
        <f aca="false">Inputs!$D$15</f>
        <v>37000</v>
      </c>
      <c r="K7" s="41" t="str">
        <f aca="false">IF(Inputs!$C$37=0,"","Senior arrangement fee ("&amp;TEXT(Inputs!$C$32,"0.00%")&amp;")")</f>
        <v>Senior arrangement fee (0.50%)</v>
      </c>
      <c r="L7" s="43" t="n">
        <f aca="false">Inputs!$D$32</f>
        <v>13875</v>
      </c>
      <c r="M7" s="43" t="n">
        <v>0</v>
      </c>
      <c r="N7" s="43" t="n">
        <v>0</v>
      </c>
      <c r="O7" s="43" t="n">
        <f aca="false">Inputs!$C$37</f>
        <v>2775000</v>
      </c>
      <c r="P7" s="43" t="n">
        <f aca="false">N7-L7</f>
        <v>-13875</v>
      </c>
      <c r="R7" s="41" t="s">
        <v>125</v>
      </c>
      <c r="S7" s="43" t="n">
        <f aca="false">Inputs!$D$32</f>
        <v>13875</v>
      </c>
      <c r="T7" s="43" t="n">
        <v>0</v>
      </c>
      <c r="U7" s="43" t="n">
        <f aca="false">Inputs!$D$15</f>
        <v>37000</v>
      </c>
      <c r="V7" s="43" t="n">
        <f aca="false">Inputs!$C$38</f>
        <v>925000</v>
      </c>
      <c r="W7" s="43" t="n">
        <f aca="false">U7-S7</f>
        <v>23125</v>
      </c>
      <c r="Z7" s="44" t="n">
        <f aca="false">EDATE(Inputs!$C$10,1)</f>
        <v>46266</v>
      </c>
      <c r="AA7" s="45" t="n">
        <f aca="false">IF(1&lt;=Inputs!$C$11,IF(Inputs!$C$24="Serviced Monthly",F11,0)+IF(1=Inputs!$C$11,Inputs!$C$14+Inputs!$D$17,0),0)</f>
        <v>25925.3424657534</v>
      </c>
      <c r="AB7" s="45" t="n">
        <f aca="false">AA7-IF(1&lt;=Inputs!$C$11,M11,0)-IF(1=Inputs!$C$11,Inputs!$C$37+Inputs!$D$36,0)</f>
        <v>11195.0342465753</v>
      </c>
    </row>
    <row r="8" customFormat="false" ht="15" hidden="false" customHeight="false" outlineLevel="0" collapsed="false">
      <c r="A8" s="39"/>
      <c r="B8" s="40" t="n">
        <f aca="false">Inputs!$C$10</f>
        <v>46235</v>
      </c>
      <c r="C8" s="41" t="str">
        <f aca="false">"Broker fee ("&amp;TEXT(Inputs!$C$16,"0.00%")&amp;") – paid away to broker"</f>
        <v>Broker fee (0.00%) – paid away to broker</v>
      </c>
      <c r="D8" s="42"/>
      <c r="E8" s="43" t="n">
        <v>0</v>
      </c>
      <c r="F8" s="43" t="n">
        <v>0</v>
      </c>
      <c r="G8" s="43" t="n">
        <f aca="false">Inputs!$D$16</f>
        <v>0</v>
      </c>
      <c r="H8" s="43" t="n">
        <f aca="false">Inputs!$C$14</f>
        <v>3700000</v>
      </c>
      <c r="I8" s="43" t="n">
        <v>0</v>
      </c>
      <c r="K8" s="41"/>
      <c r="L8" s="43" t="n">
        <v>0</v>
      </c>
      <c r="M8" s="43" t="n">
        <v>0</v>
      </c>
      <c r="N8" s="43" t="n">
        <v>0</v>
      </c>
      <c r="O8" s="43" t="n">
        <f aca="false">Inputs!$C$37</f>
        <v>2775000</v>
      </c>
      <c r="P8" s="43" t="n">
        <f aca="false">N8-L8</f>
        <v>0</v>
      </c>
      <c r="R8" s="41" t="s">
        <v>126</v>
      </c>
      <c r="S8" s="43" t="n">
        <f aca="false">Inputs!$D$16</f>
        <v>0</v>
      </c>
      <c r="T8" s="43" t="n">
        <v>0</v>
      </c>
      <c r="U8" s="43" t="n">
        <f aca="false">Inputs!$D$16</f>
        <v>0</v>
      </c>
      <c r="V8" s="43" t="n">
        <f aca="false">Inputs!$C$38</f>
        <v>925000</v>
      </c>
      <c r="W8" s="43" t="n">
        <f aca="false">U8-S8</f>
        <v>0</v>
      </c>
      <c r="Z8" s="44" t="n">
        <f aca="false">EDATE(Inputs!$C$10,2)</f>
        <v>46296</v>
      </c>
      <c r="AA8" s="45" t="n">
        <f aca="false">IF(2&lt;=Inputs!$C$11,IF(Inputs!$C$24="Serviced Monthly",F12,0)+IF(2=Inputs!$C$11,Inputs!$C$14+Inputs!$D$17,0),0)</f>
        <v>25089.0410958904</v>
      </c>
      <c r="AB8" s="45" t="n">
        <f aca="false">AA8-IF(2&lt;=Inputs!$C$11,M12,0)-IF(2=Inputs!$C$11,Inputs!$C$37+Inputs!$D$36,0)</f>
        <v>10833.904109589</v>
      </c>
    </row>
    <row r="9" customFormat="false" ht="15" hidden="false" customHeight="false" outlineLevel="0" collapsed="false">
      <c r="A9" s="39"/>
      <c r="B9" s="40" t="n">
        <f aca="false">Inputs!$C$10</f>
        <v>46235</v>
      </c>
      <c r="C9" s="41" t="s">
        <v>127</v>
      </c>
      <c r="D9" s="42"/>
      <c r="E9" s="43" t="n">
        <v>0</v>
      </c>
      <c r="F9" s="43" t="n">
        <v>0</v>
      </c>
      <c r="G9" s="43" t="n">
        <f aca="false">Inputs!$C$18</f>
        <v>0</v>
      </c>
      <c r="H9" s="43" t="n">
        <f aca="false">Inputs!$C$14</f>
        <v>3700000</v>
      </c>
      <c r="I9" s="43" t="n">
        <f aca="false">Inputs!$C$18</f>
        <v>0</v>
      </c>
      <c r="K9" s="41"/>
      <c r="L9" s="43" t="n">
        <v>0</v>
      </c>
      <c r="M9" s="43" t="n">
        <v>0</v>
      </c>
      <c r="N9" s="43" t="n">
        <v>0</v>
      </c>
      <c r="O9" s="43" t="n">
        <f aca="false">Inputs!$C$37</f>
        <v>2775000</v>
      </c>
      <c r="P9" s="43" t="n">
        <f aca="false">N9-L9</f>
        <v>0</v>
      </c>
      <c r="R9" s="41" t="s">
        <v>128</v>
      </c>
      <c r="S9" s="43" t="n">
        <v>0</v>
      </c>
      <c r="T9" s="43" t="n">
        <v>0</v>
      </c>
      <c r="U9" s="43" t="n">
        <f aca="false">Inputs!$C$18</f>
        <v>0</v>
      </c>
      <c r="V9" s="43" t="n">
        <f aca="false">Inputs!$C$38</f>
        <v>925000</v>
      </c>
      <c r="W9" s="43" t="n">
        <f aca="false">U9-S9</f>
        <v>0</v>
      </c>
      <c r="Z9" s="44" t="n">
        <f aca="false">EDATE(Inputs!$C$10,3)</f>
        <v>46327</v>
      </c>
      <c r="AA9" s="45" t="n">
        <f aca="false">IF(3&lt;=Inputs!$C$11,IF(Inputs!$C$24="Serviced Monthly",F13,0)+IF(3=Inputs!$C$11,Inputs!$C$14+Inputs!$D$17,0),0)</f>
        <v>25925.3424657534</v>
      </c>
      <c r="AB9" s="45" t="n">
        <f aca="false">AA9-IF(3&lt;=Inputs!$C$11,M13,0)-IF(3=Inputs!$C$11,Inputs!$C$37+Inputs!$D$36,0)</f>
        <v>11195.0342465753</v>
      </c>
    </row>
    <row r="10" customFormat="false" ht="15" hidden="false" customHeight="false" outlineLevel="0" collapsed="false">
      <c r="A10" s="39"/>
      <c r="B10" s="40" t="n">
        <f aca="false">Inputs!$C$10</f>
        <v>46235</v>
      </c>
      <c r="C10" s="41" t="s">
        <v>129</v>
      </c>
      <c r="D10" s="42"/>
      <c r="E10" s="43" t="n">
        <v>0</v>
      </c>
      <c r="F10" s="43" t="n">
        <v>0</v>
      </c>
      <c r="G10" s="43" t="n">
        <f aca="false">Inputs!$C$25</f>
        <v>0</v>
      </c>
      <c r="H10" s="43" t="n">
        <f aca="false">Inputs!$C$14</f>
        <v>3700000</v>
      </c>
      <c r="I10" s="43" t="n">
        <f aca="false">Inputs!$C$25</f>
        <v>0</v>
      </c>
      <c r="K10" s="41"/>
      <c r="L10" s="43" t="n">
        <v>0</v>
      </c>
      <c r="M10" s="43" t="n">
        <v>0</v>
      </c>
      <c r="N10" s="43" t="n">
        <v>0</v>
      </c>
      <c r="O10" s="43" t="n">
        <f aca="false">Inputs!$C$37</f>
        <v>2775000</v>
      </c>
      <c r="P10" s="43" t="n">
        <f aca="false">N10-L10</f>
        <v>0</v>
      </c>
      <c r="R10" s="41" t="s">
        <v>130</v>
      </c>
      <c r="S10" s="43" t="n">
        <v>0</v>
      </c>
      <c r="T10" s="43" t="n">
        <v>0</v>
      </c>
      <c r="U10" s="43" t="n">
        <f aca="false">Inputs!$C$25</f>
        <v>0</v>
      </c>
      <c r="V10" s="43" t="n">
        <f aca="false">Inputs!$C$38</f>
        <v>925000</v>
      </c>
      <c r="W10" s="43" t="n">
        <f aca="false">U10-S10</f>
        <v>0</v>
      </c>
      <c r="Z10" s="44" t="n">
        <f aca="false">EDATE(Inputs!$C$10,4)</f>
        <v>46357</v>
      </c>
      <c r="AA10" s="45" t="n">
        <f aca="false">IF(4&lt;=Inputs!$C$11,IF(Inputs!$C$24="Serviced Monthly",F14,0)+IF(4=Inputs!$C$11,Inputs!$C$14+Inputs!$D$17,0),0)</f>
        <v>25089.0410958904</v>
      </c>
      <c r="AB10" s="45" t="n">
        <f aca="false">AA10-IF(4&lt;=Inputs!$C$11,M14,0)-IF(4=Inputs!$C$11,Inputs!$C$37+Inputs!$D$36,0)</f>
        <v>10833.904109589</v>
      </c>
    </row>
    <row r="11" customFormat="false" ht="15" hidden="false" customHeight="false" outlineLevel="0" collapsed="false">
      <c r="A11" s="39" t="n">
        <f aca="false">IF(1&lt;=Inputs!$C$11,1,"")</f>
        <v>1</v>
      </c>
      <c r="B11" s="40" t="n">
        <f aca="false">IF(1&lt;=Inputs!$C$11,EDATE(Inputs!$C$10,1),IF(1&lt;=Inputs!$C$11+2,EDATE(Inputs!$C$10,Inputs!$C$11),""))</f>
        <v>46266</v>
      </c>
      <c r="C11" s="41" t="str">
        <f aca="false">IF(1&lt;=Inputs!$C$11,IF(AND(N(X11)&gt;0,N(X11)&lt;D11),"Interest (rate change)","Interest"),IF(1=Inputs!$C$11+1,"Exit fee ("&amp;TEXT(Inputs!$C$17,"0.00%")&amp;")",IF(1=Inputs!$C$11+2,"Redemption – principal repaid","")))</f>
        <v>Interest</v>
      </c>
      <c r="D11" s="46" t="n">
        <f aca="false">IF(1&lt;=Inputs!$C$11,EDATE(Inputs!$C$10,1)-EDATE(Inputs!$C$10,0),"")</f>
        <v>31</v>
      </c>
      <c r="E11" s="43" t="n">
        <f aca="false">IF(1&lt;=Inputs!$C$11+2,0,"")</f>
        <v>0</v>
      </c>
      <c r="F11" s="43" t="n">
        <f aca="false">IF(1&lt;=Inputs!$C$11,Inputs!$C$14*(Inputs!$C$21*(D11-X11)+IF(Inputs!$C$22="",Inputs!$C$21,Inputs!$C$22)*X11)/365,IF(1&lt;=Inputs!$C$11+2,0,""))</f>
        <v>25925.3424657534</v>
      </c>
      <c r="G11" s="43" t="n">
        <f aca="false">IF(1&lt;=Inputs!$C$11,IF(Inputs!$C$24="Serviced Monthly",F11,0),IF(1=Inputs!$C$11+1,Inputs!$D$17,IF(1=Inputs!$C$11+2,Inputs!$C$14,"")))</f>
        <v>25925.3424657534</v>
      </c>
      <c r="H11" s="43" t="n">
        <f aca="false">IF(1&lt;=Inputs!$C$11+1,Inputs!$C$14,IF(1=Inputs!$C$11+2,0,""))</f>
        <v>3700000</v>
      </c>
      <c r="I11" s="43" t="n">
        <f aca="false">IF(1&lt;=Inputs!$C$11+2,G11,"")</f>
        <v>25925.3424657534</v>
      </c>
      <c r="K11" s="41" t="str">
        <f aca="false">IF(Inputs!$C$37=0,"",IF(1&lt;=Inputs!$C$11,"Senior interest",IF(1=Inputs!$C$11+1,"Senior exit fee ("&amp;TEXT(Inputs!$C$36,"0.00%")&amp;")",IF(1=Inputs!$C$11+2,"Senior loan repaid",""))))</f>
        <v>Senior interest</v>
      </c>
      <c r="L11" s="43" t="n">
        <f aca="false">IF(1&lt;=Inputs!$C$11,M11,IF(1=Inputs!$C$11+1,Inputs!$D$36,IF(1=Inputs!$C$11+2,Inputs!$C$37,"")))</f>
        <v>14730.3082191781</v>
      </c>
      <c r="M11" s="43" t="n">
        <f aca="false">IF(1&lt;=Inputs!$C$11,Inputs!$C$37*Inputs!$C$35*D11/365,IF(1&lt;=Inputs!$C$11+2,0,""))</f>
        <v>14730.3082191781</v>
      </c>
      <c r="N11" s="43" t="n">
        <f aca="false">IF(1&lt;=Inputs!$C$11+2,0,"")</f>
        <v>0</v>
      </c>
      <c r="O11" s="43" t="n">
        <f aca="false">IF(1&lt;=Inputs!$C$11+1,Inputs!$C$37,IF(1=Inputs!$C$11+2,0,""))</f>
        <v>2775000</v>
      </c>
      <c r="P11" s="43" t="n">
        <f aca="false">IF(1&lt;=Inputs!$C$11+2,N11-L11,"")</f>
        <v>-14730.3082191781</v>
      </c>
      <c r="R11" s="41" t="str">
        <f aca="false">IF(1&lt;=Inputs!$C$11,"Net interest margin",IF(1=Inputs!$C$11+1,"Net exit fee",IF(1=Inputs!$C$11+2,"Redemption in / senior repaid","")))</f>
        <v>Net interest margin</v>
      </c>
      <c r="S11" s="43" t="n">
        <f aca="false">IF(1&lt;=Inputs!$C$11+2,L11,"")</f>
        <v>14730.3082191781</v>
      </c>
      <c r="T11" s="43" t="n">
        <f aca="false">IF(1&lt;=Inputs!$C$11,F11-M11,IF(1&lt;=Inputs!$C$11+2,0,""))</f>
        <v>11195.0342465753</v>
      </c>
      <c r="U11" s="43" t="n">
        <f aca="false">IF(1&lt;=Inputs!$C$11+2,G11,"")</f>
        <v>25925.3424657534</v>
      </c>
      <c r="V11" s="43" t="n">
        <f aca="false">IF(1&lt;=Inputs!$C$11+1,Inputs!$C$38,IF(1=Inputs!$C$11+2,0,""))</f>
        <v>925000</v>
      </c>
      <c r="W11" s="43" t="n">
        <f aca="false">IF(1&lt;=Inputs!$C$11+2,U11-S11,"")</f>
        <v>11195.0342465753</v>
      </c>
      <c r="X11" s="47" t="n">
        <f aca="false">IF(1&lt;=Inputs!$C$11,IF(OR(Inputs!$C$23="",Inputs!$C$22=""),0,MAX(0,EDATE(Inputs!$C$10,1)-MAX(EDATE(Inputs!$C$10,0),Inputs!$C$23))),"")</f>
        <v>0</v>
      </c>
      <c r="Z11" s="44" t="n">
        <f aca="false">EDATE(Inputs!$C$10,5)</f>
        <v>46388</v>
      </c>
      <c r="AA11" s="45" t="n">
        <f aca="false">IF(5&lt;=Inputs!$C$11,IF(Inputs!$C$24="Serviced Monthly",F15,0)+IF(5=Inputs!$C$11,Inputs!$C$14+Inputs!$D$17,0),0)</f>
        <v>25925.3424657534</v>
      </c>
      <c r="AB11" s="45" t="n">
        <f aca="false">AA11-IF(5&lt;=Inputs!$C$11,M15,0)-IF(5=Inputs!$C$11,Inputs!$C$37+Inputs!$D$36,0)</f>
        <v>11195.0342465753</v>
      </c>
    </row>
    <row r="12" customFormat="false" ht="15" hidden="false" customHeight="false" outlineLevel="0" collapsed="false">
      <c r="A12" s="39" t="n">
        <f aca="false">IF(2&lt;=Inputs!$C$11,2,"")</f>
        <v>2</v>
      </c>
      <c r="B12" s="40" t="n">
        <f aca="false">IF(2&lt;=Inputs!$C$11,EDATE(Inputs!$C$10,2),IF(2&lt;=Inputs!$C$11+2,EDATE(Inputs!$C$10,Inputs!$C$11),""))</f>
        <v>46296</v>
      </c>
      <c r="C12" s="41" t="str">
        <f aca="false">IF(2&lt;=Inputs!$C$11,IF(AND(N(X12)&gt;0,N(X12)&lt;D12),"Interest (rate change)","Interest"),IF(2=Inputs!$C$11+1,"Exit fee ("&amp;TEXT(Inputs!$C$17,"0.00%")&amp;")",IF(2=Inputs!$C$11+2,"Redemption – principal repaid","")))</f>
        <v>Interest</v>
      </c>
      <c r="D12" s="46" t="n">
        <f aca="false">IF(2&lt;=Inputs!$C$11,EDATE(Inputs!$C$10,2)-EDATE(Inputs!$C$10,1),"")</f>
        <v>30</v>
      </c>
      <c r="E12" s="43" t="n">
        <f aca="false">IF(2&lt;=Inputs!$C$11+2,0,"")</f>
        <v>0</v>
      </c>
      <c r="F12" s="43" t="n">
        <f aca="false">IF(2&lt;=Inputs!$C$11,Inputs!$C$14*(Inputs!$C$21*(D12-X12)+IF(Inputs!$C$22="",Inputs!$C$21,Inputs!$C$22)*X12)/365,IF(2&lt;=Inputs!$C$11+2,0,""))</f>
        <v>25089.0410958904</v>
      </c>
      <c r="G12" s="43" t="n">
        <f aca="false">IF(2&lt;=Inputs!$C$11,IF(Inputs!$C$24="Serviced Monthly",F12,0),IF(2=Inputs!$C$11+1,Inputs!$D$17,IF(2=Inputs!$C$11+2,Inputs!$C$14,"")))</f>
        <v>25089.0410958904</v>
      </c>
      <c r="H12" s="43" t="n">
        <f aca="false">IF(2&lt;=Inputs!$C$11+1,Inputs!$C$14,IF(2=Inputs!$C$11+2,0,""))</f>
        <v>3700000</v>
      </c>
      <c r="I12" s="43" t="n">
        <f aca="false">IF(2&lt;=Inputs!$C$11+2,G12,"")</f>
        <v>25089.0410958904</v>
      </c>
      <c r="K12" s="41" t="str">
        <f aca="false">IF(Inputs!$C$37=0,"",IF(2&lt;=Inputs!$C$11,"Senior interest",IF(2=Inputs!$C$11+1,"Senior exit fee ("&amp;TEXT(Inputs!$C$36,"0.00%")&amp;")",IF(2=Inputs!$C$11+2,"Senior loan repaid",""))))</f>
        <v>Senior interest</v>
      </c>
      <c r="L12" s="43" t="n">
        <f aca="false">IF(2&lt;=Inputs!$C$11,M12,IF(2=Inputs!$C$11+1,Inputs!$D$36,IF(2=Inputs!$C$11+2,Inputs!$C$37,"")))</f>
        <v>14255.1369863014</v>
      </c>
      <c r="M12" s="43" t="n">
        <f aca="false">IF(2&lt;=Inputs!$C$11,Inputs!$C$37*Inputs!$C$35*D12/365,IF(2&lt;=Inputs!$C$11+2,0,""))</f>
        <v>14255.1369863014</v>
      </c>
      <c r="N12" s="43" t="n">
        <f aca="false">IF(2&lt;=Inputs!$C$11+2,0,"")</f>
        <v>0</v>
      </c>
      <c r="O12" s="43" t="n">
        <f aca="false">IF(2&lt;=Inputs!$C$11+1,Inputs!$C$37,IF(2=Inputs!$C$11+2,0,""))</f>
        <v>2775000</v>
      </c>
      <c r="P12" s="43" t="n">
        <f aca="false">IF(2&lt;=Inputs!$C$11+2,N12-L12,"")</f>
        <v>-14255.1369863014</v>
      </c>
      <c r="R12" s="41" t="str">
        <f aca="false">IF(2&lt;=Inputs!$C$11,"Net interest margin",IF(2=Inputs!$C$11+1,"Net exit fee",IF(2=Inputs!$C$11+2,"Redemption in / senior repaid","")))</f>
        <v>Net interest margin</v>
      </c>
      <c r="S12" s="43" t="n">
        <f aca="false">IF(2&lt;=Inputs!$C$11+2,L12,"")</f>
        <v>14255.1369863014</v>
      </c>
      <c r="T12" s="43" t="n">
        <f aca="false">IF(2&lt;=Inputs!$C$11,F12-M12,IF(2&lt;=Inputs!$C$11+2,0,""))</f>
        <v>10833.904109589</v>
      </c>
      <c r="U12" s="43" t="n">
        <f aca="false">IF(2&lt;=Inputs!$C$11+2,G12,"")</f>
        <v>25089.0410958904</v>
      </c>
      <c r="V12" s="43" t="n">
        <f aca="false">IF(2&lt;=Inputs!$C$11+1,Inputs!$C$38,IF(2=Inputs!$C$11+2,0,""))</f>
        <v>925000</v>
      </c>
      <c r="W12" s="43" t="n">
        <f aca="false">IF(2&lt;=Inputs!$C$11+2,U12-S12,"")</f>
        <v>10833.904109589</v>
      </c>
      <c r="X12" s="47" t="n">
        <f aca="false">IF(2&lt;=Inputs!$C$11,IF(OR(Inputs!$C$23="",Inputs!$C$22=""),0,MAX(0,EDATE(Inputs!$C$10,2)-MAX(EDATE(Inputs!$C$10,1),Inputs!$C$23))),"")</f>
        <v>0</v>
      </c>
      <c r="Z12" s="44" t="n">
        <f aca="false">EDATE(Inputs!$C$10,6)</f>
        <v>46419</v>
      </c>
      <c r="AA12" s="45" t="n">
        <f aca="false">IF(6&lt;=Inputs!$C$11,IF(Inputs!$C$24="Serviced Monthly",F16,0)+IF(6=Inputs!$C$11,Inputs!$C$14+Inputs!$D$17,0),0)</f>
        <v>25925.3424657534</v>
      </c>
      <c r="AB12" s="45" t="n">
        <f aca="false">AA12-IF(6&lt;=Inputs!$C$11,M16,0)-IF(6=Inputs!$C$11,Inputs!$C$37+Inputs!$D$36,0)</f>
        <v>11195.0342465753</v>
      </c>
    </row>
    <row r="13" customFormat="false" ht="15" hidden="false" customHeight="false" outlineLevel="0" collapsed="false">
      <c r="A13" s="39" t="n">
        <f aca="false">IF(3&lt;=Inputs!$C$11,3,"")</f>
        <v>3</v>
      </c>
      <c r="B13" s="40" t="n">
        <f aca="false">IF(3&lt;=Inputs!$C$11,EDATE(Inputs!$C$10,3),IF(3&lt;=Inputs!$C$11+2,EDATE(Inputs!$C$10,Inputs!$C$11),""))</f>
        <v>46327</v>
      </c>
      <c r="C13" s="41" t="str">
        <f aca="false">IF(3&lt;=Inputs!$C$11,IF(AND(N(X13)&gt;0,N(X13)&lt;D13),"Interest (rate change)","Interest"),IF(3=Inputs!$C$11+1,"Exit fee ("&amp;TEXT(Inputs!$C$17,"0.00%")&amp;")",IF(3=Inputs!$C$11+2,"Redemption – principal repaid","")))</f>
        <v>Interest</v>
      </c>
      <c r="D13" s="46" t="n">
        <f aca="false">IF(3&lt;=Inputs!$C$11,EDATE(Inputs!$C$10,3)-EDATE(Inputs!$C$10,2),"")</f>
        <v>31</v>
      </c>
      <c r="E13" s="43" t="n">
        <f aca="false">IF(3&lt;=Inputs!$C$11+2,0,"")</f>
        <v>0</v>
      </c>
      <c r="F13" s="43" t="n">
        <f aca="false">IF(3&lt;=Inputs!$C$11,Inputs!$C$14*(Inputs!$C$21*(D13-X13)+IF(Inputs!$C$22="",Inputs!$C$21,Inputs!$C$22)*X13)/365,IF(3&lt;=Inputs!$C$11+2,0,""))</f>
        <v>25925.3424657534</v>
      </c>
      <c r="G13" s="43" t="n">
        <f aca="false">IF(3&lt;=Inputs!$C$11,IF(Inputs!$C$24="Serviced Monthly",F13,0),IF(3=Inputs!$C$11+1,Inputs!$D$17,IF(3=Inputs!$C$11+2,Inputs!$C$14,"")))</f>
        <v>25925.3424657534</v>
      </c>
      <c r="H13" s="43" t="n">
        <f aca="false">IF(3&lt;=Inputs!$C$11+1,Inputs!$C$14,IF(3=Inputs!$C$11+2,0,""))</f>
        <v>3700000</v>
      </c>
      <c r="I13" s="43" t="n">
        <f aca="false">IF(3&lt;=Inputs!$C$11+2,G13,"")</f>
        <v>25925.3424657534</v>
      </c>
      <c r="K13" s="41" t="str">
        <f aca="false">IF(Inputs!$C$37=0,"",IF(3&lt;=Inputs!$C$11,"Senior interest",IF(3=Inputs!$C$11+1,"Senior exit fee ("&amp;TEXT(Inputs!$C$36,"0.00%")&amp;")",IF(3=Inputs!$C$11+2,"Senior loan repaid",""))))</f>
        <v>Senior interest</v>
      </c>
      <c r="L13" s="43" t="n">
        <f aca="false">IF(3&lt;=Inputs!$C$11,M13,IF(3=Inputs!$C$11+1,Inputs!$D$36,IF(3=Inputs!$C$11+2,Inputs!$C$37,"")))</f>
        <v>14730.3082191781</v>
      </c>
      <c r="M13" s="43" t="n">
        <f aca="false">IF(3&lt;=Inputs!$C$11,Inputs!$C$37*Inputs!$C$35*D13/365,IF(3&lt;=Inputs!$C$11+2,0,""))</f>
        <v>14730.3082191781</v>
      </c>
      <c r="N13" s="43" t="n">
        <f aca="false">IF(3&lt;=Inputs!$C$11+2,0,"")</f>
        <v>0</v>
      </c>
      <c r="O13" s="43" t="n">
        <f aca="false">IF(3&lt;=Inputs!$C$11+1,Inputs!$C$37,IF(3=Inputs!$C$11+2,0,""))</f>
        <v>2775000</v>
      </c>
      <c r="P13" s="43" t="n">
        <f aca="false">IF(3&lt;=Inputs!$C$11+2,N13-L13,"")</f>
        <v>-14730.3082191781</v>
      </c>
      <c r="R13" s="41" t="str">
        <f aca="false">IF(3&lt;=Inputs!$C$11,"Net interest margin",IF(3=Inputs!$C$11+1,"Net exit fee",IF(3=Inputs!$C$11+2,"Redemption in / senior repaid","")))</f>
        <v>Net interest margin</v>
      </c>
      <c r="S13" s="43" t="n">
        <f aca="false">IF(3&lt;=Inputs!$C$11+2,L13,"")</f>
        <v>14730.3082191781</v>
      </c>
      <c r="T13" s="43" t="n">
        <f aca="false">IF(3&lt;=Inputs!$C$11,F13-M13,IF(3&lt;=Inputs!$C$11+2,0,""))</f>
        <v>11195.0342465753</v>
      </c>
      <c r="U13" s="43" t="n">
        <f aca="false">IF(3&lt;=Inputs!$C$11+2,G13,"")</f>
        <v>25925.3424657534</v>
      </c>
      <c r="V13" s="43" t="n">
        <f aca="false">IF(3&lt;=Inputs!$C$11+1,Inputs!$C$38,IF(3=Inputs!$C$11+2,0,""))</f>
        <v>925000</v>
      </c>
      <c r="W13" s="43" t="n">
        <f aca="false">IF(3&lt;=Inputs!$C$11+2,U13-S13,"")</f>
        <v>11195.0342465753</v>
      </c>
      <c r="X13" s="47" t="n">
        <f aca="false">IF(3&lt;=Inputs!$C$11,IF(OR(Inputs!$C$23="",Inputs!$C$22=""),0,MAX(0,EDATE(Inputs!$C$10,3)-MAX(EDATE(Inputs!$C$10,2),Inputs!$C$23))),"")</f>
        <v>0</v>
      </c>
      <c r="Z13" s="44" t="n">
        <f aca="false">EDATE(Inputs!$C$10,7)</f>
        <v>46447</v>
      </c>
      <c r="AA13" s="45" t="n">
        <f aca="false">IF(7&lt;=Inputs!$C$11,IF(Inputs!$C$24="Serviced Monthly",F17,0)+IF(7=Inputs!$C$11,Inputs!$C$14+Inputs!$D$17,0),0)</f>
        <v>23416.4383561644</v>
      </c>
      <c r="AB13" s="45" t="n">
        <f aca="false">AA13-IF(7&lt;=Inputs!$C$11,M17,0)-IF(7=Inputs!$C$11,Inputs!$C$37+Inputs!$D$36,0)</f>
        <v>10111.6438356164</v>
      </c>
    </row>
    <row r="14" customFormat="false" ht="15" hidden="false" customHeight="false" outlineLevel="0" collapsed="false">
      <c r="A14" s="39" t="n">
        <f aca="false">IF(4&lt;=Inputs!$C$11,4,"")</f>
        <v>4</v>
      </c>
      <c r="B14" s="40" t="n">
        <f aca="false">IF(4&lt;=Inputs!$C$11,EDATE(Inputs!$C$10,4),IF(4&lt;=Inputs!$C$11+2,EDATE(Inputs!$C$10,Inputs!$C$11),""))</f>
        <v>46357</v>
      </c>
      <c r="C14" s="41" t="str">
        <f aca="false">IF(4&lt;=Inputs!$C$11,IF(AND(N(X14)&gt;0,N(X14)&lt;D14),"Interest (rate change)","Interest"),IF(4=Inputs!$C$11+1,"Exit fee ("&amp;TEXT(Inputs!$C$17,"0.00%")&amp;")",IF(4=Inputs!$C$11+2,"Redemption – principal repaid","")))</f>
        <v>Interest</v>
      </c>
      <c r="D14" s="46" t="n">
        <f aca="false">IF(4&lt;=Inputs!$C$11,EDATE(Inputs!$C$10,4)-EDATE(Inputs!$C$10,3),"")</f>
        <v>30</v>
      </c>
      <c r="E14" s="43" t="n">
        <f aca="false">IF(4&lt;=Inputs!$C$11+2,0,"")</f>
        <v>0</v>
      </c>
      <c r="F14" s="43" t="n">
        <f aca="false">IF(4&lt;=Inputs!$C$11,Inputs!$C$14*(Inputs!$C$21*(D14-X14)+IF(Inputs!$C$22="",Inputs!$C$21,Inputs!$C$22)*X14)/365,IF(4&lt;=Inputs!$C$11+2,0,""))</f>
        <v>25089.0410958904</v>
      </c>
      <c r="G14" s="43" t="n">
        <f aca="false">IF(4&lt;=Inputs!$C$11,IF(Inputs!$C$24="Serviced Monthly",F14,0),IF(4=Inputs!$C$11+1,Inputs!$D$17,IF(4=Inputs!$C$11+2,Inputs!$C$14,"")))</f>
        <v>25089.0410958904</v>
      </c>
      <c r="H14" s="43" t="n">
        <f aca="false">IF(4&lt;=Inputs!$C$11+1,Inputs!$C$14,IF(4=Inputs!$C$11+2,0,""))</f>
        <v>3700000</v>
      </c>
      <c r="I14" s="43" t="n">
        <f aca="false">IF(4&lt;=Inputs!$C$11+2,G14,"")</f>
        <v>25089.0410958904</v>
      </c>
      <c r="K14" s="41" t="str">
        <f aca="false">IF(Inputs!$C$37=0,"",IF(4&lt;=Inputs!$C$11,"Senior interest",IF(4=Inputs!$C$11+1,"Senior exit fee ("&amp;TEXT(Inputs!$C$36,"0.00%")&amp;")",IF(4=Inputs!$C$11+2,"Senior loan repaid",""))))</f>
        <v>Senior interest</v>
      </c>
      <c r="L14" s="43" t="n">
        <f aca="false">IF(4&lt;=Inputs!$C$11,M14,IF(4=Inputs!$C$11+1,Inputs!$D$36,IF(4=Inputs!$C$11+2,Inputs!$C$37,"")))</f>
        <v>14255.1369863014</v>
      </c>
      <c r="M14" s="43" t="n">
        <f aca="false">IF(4&lt;=Inputs!$C$11,Inputs!$C$37*Inputs!$C$35*D14/365,IF(4&lt;=Inputs!$C$11+2,0,""))</f>
        <v>14255.1369863014</v>
      </c>
      <c r="N14" s="43" t="n">
        <f aca="false">IF(4&lt;=Inputs!$C$11+2,0,"")</f>
        <v>0</v>
      </c>
      <c r="O14" s="43" t="n">
        <f aca="false">IF(4&lt;=Inputs!$C$11+1,Inputs!$C$37,IF(4=Inputs!$C$11+2,0,""))</f>
        <v>2775000</v>
      </c>
      <c r="P14" s="43" t="n">
        <f aca="false">IF(4&lt;=Inputs!$C$11+2,N14-L14,"")</f>
        <v>-14255.1369863014</v>
      </c>
      <c r="R14" s="41" t="str">
        <f aca="false">IF(4&lt;=Inputs!$C$11,"Net interest margin",IF(4=Inputs!$C$11+1,"Net exit fee",IF(4=Inputs!$C$11+2,"Redemption in / senior repaid","")))</f>
        <v>Net interest margin</v>
      </c>
      <c r="S14" s="43" t="n">
        <f aca="false">IF(4&lt;=Inputs!$C$11+2,L14,"")</f>
        <v>14255.1369863014</v>
      </c>
      <c r="T14" s="43" t="n">
        <f aca="false">IF(4&lt;=Inputs!$C$11,F14-M14,IF(4&lt;=Inputs!$C$11+2,0,""))</f>
        <v>10833.904109589</v>
      </c>
      <c r="U14" s="43" t="n">
        <f aca="false">IF(4&lt;=Inputs!$C$11+2,G14,"")</f>
        <v>25089.0410958904</v>
      </c>
      <c r="V14" s="43" t="n">
        <f aca="false">IF(4&lt;=Inputs!$C$11+1,Inputs!$C$38,IF(4=Inputs!$C$11+2,0,""))</f>
        <v>925000</v>
      </c>
      <c r="W14" s="43" t="n">
        <f aca="false">IF(4&lt;=Inputs!$C$11+2,U14-S14,"")</f>
        <v>10833.904109589</v>
      </c>
      <c r="X14" s="47" t="n">
        <f aca="false">IF(4&lt;=Inputs!$C$11,IF(OR(Inputs!$C$23="",Inputs!$C$22=""),0,MAX(0,EDATE(Inputs!$C$10,4)-MAX(EDATE(Inputs!$C$10,3),Inputs!$C$23))),"")</f>
        <v>0</v>
      </c>
      <c r="Z14" s="44" t="n">
        <f aca="false">EDATE(Inputs!$C$10,8)</f>
        <v>46478</v>
      </c>
      <c r="AA14" s="45" t="n">
        <f aca="false">IF(8&lt;=Inputs!$C$11,IF(Inputs!$C$24="Serviced Monthly",F18,0)+IF(8=Inputs!$C$11,Inputs!$C$14+Inputs!$D$17,0),0)</f>
        <v>25925.3424657534</v>
      </c>
      <c r="AB14" s="45" t="n">
        <f aca="false">AA14-IF(8&lt;=Inputs!$C$11,M18,0)-IF(8=Inputs!$C$11,Inputs!$C$37+Inputs!$D$36,0)</f>
        <v>11195.0342465753</v>
      </c>
    </row>
    <row r="15" customFormat="false" ht="15" hidden="false" customHeight="false" outlineLevel="0" collapsed="false">
      <c r="A15" s="39" t="n">
        <f aca="false">IF(5&lt;=Inputs!$C$11,5,"")</f>
        <v>5</v>
      </c>
      <c r="B15" s="40" t="n">
        <f aca="false">IF(5&lt;=Inputs!$C$11,EDATE(Inputs!$C$10,5),IF(5&lt;=Inputs!$C$11+2,EDATE(Inputs!$C$10,Inputs!$C$11),""))</f>
        <v>46388</v>
      </c>
      <c r="C15" s="41" t="str">
        <f aca="false">IF(5&lt;=Inputs!$C$11,IF(AND(N(X15)&gt;0,N(X15)&lt;D15),"Interest (rate change)","Interest"),IF(5=Inputs!$C$11+1,"Exit fee ("&amp;TEXT(Inputs!$C$17,"0.00%")&amp;")",IF(5=Inputs!$C$11+2,"Redemption – principal repaid","")))</f>
        <v>Interest</v>
      </c>
      <c r="D15" s="46" t="n">
        <f aca="false">IF(5&lt;=Inputs!$C$11,EDATE(Inputs!$C$10,5)-EDATE(Inputs!$C$10,4),"")</f>
        <v>31</v>
      </c>
      <c r="E15" s="43" t="n">
        <f aca="false">IF(5&lt;=Inputs!$C$11+2,0,"")</f>
        <v>0</v>
      </c>
      <c r="F15" s="43" t="n">
        <f aca="false">IF(5&lt;=Inputs!$C$11,Inputs!$C$14*(Inputs!$C$21*(D15-X15)+IF(Inputs!$C$22="",Inputs!$C$21,Inputs!$C$22)*X15)/365,IF(5&lt;=Inputs!$C$11+2,0,""))</f>
        <v>25925.3424657534</v>
      </c>
      <c r="G15" s="43" t="n">
        <f aca="false">IF(5&lt;=Inputs!$C$11,IF(Inputs!$C$24="Serviced Monthly",F15,0),IF(5=Inputs!$C$11+1,Inputs!$D$17,IF(5=Inputs!$C$11+2,Inputs!$C$14,"")))</f>
        <v>25925.3424657534</v>
      </c>
      <c r="H15" s="43" t="n">
        <f aca="false">IF(5&lt;=Inputs!$C$11+1,Inputs!$C$14,IF(5=Inputs!$C$11+2,0,""))</f>
        <v>3700000</v>
      </c>
      <c r="I15" s="43" t="n">
        <f aca="false">IF(5&lt;=Inputs!$C$11+2,G15,"")</f>
        <v>25925.3424657534</v>
      </c>
      <c r="K15" s="41" t="str">
        <f aca="false">IF(Inputs!$C$37=0,"",IF(5&lt;=Inputs!$C$11,"Senior interest",IF(5=Inputs!$C$11+1,"Senior exit fee ("&amp;TEXT(Inputs!$C$36,"0.00%")&amp;")",IF(5=Inputs!$C$11+2,"Senior loan repaid",""))))</f>
        <v>Senior interest</v>
      </c>
      <c r="L15" s="43" t="n">
        <f aca="false">IF(5&lt;=Inputs!$C$11,M15,IF(5=Inputs!$C$11+1,Inputs!$D$36,IF(5=Inputs!$C$11+2,Inputs!$C$37,"")))</f>
        <v>14730.3082191781</v>
      </c>
      <c r="M15" s="43" t="n">
        <f aca="false">IF(5&lt;=Inputs!$C$11,Inputs!$C$37*Inputs!$C$35*D15/365,IF(5&lt;=Inputs!$C$11+2,0,""))</f>
        <v>14730.3082191781</v>
      </c>
      <c r="N15" s="43" t="n">
        <f aca="false">IF(5&lt;=Inputs!$C$11+2,0,"")</f>
        <v>0</v>
      </c>
      <c r="O15" s="43" t="n">
        <f aca="false">IF(5&lt;=Inputs!$C$11+1,Inputs!$C$37,IF(5=Inputs!$C$11+2,0,""))</f>
        <v>2775000</v>
      </c>
      <c r="P15" s="43" t="n">
        <f aca="false">IF(5&lt;=Inputs!$C$11+2,N15-L15,"")</f>
        <v>-14730.3082191781</v>
      </c>
      <c r="R15" s="41" t="str">
        <f aca="false">IF(5&lt;=Inputs!$C$11,"Net interest margin",IF(5=Inputs!$C$11+1,"Net exit fee",IF(5=Inputs!$C$11+2,"Redemption in / senior repaid","")))</f>
        <v>Net interest margin</v>
      </c>
      <c r="S15" s="43" t="n">
        <f aca="false">IF(5&lt;=Inputs!$C$11+2,L15,"")</f>
        <v>14730.3082191781</v>
      </c>
      <c r="T15" s="43" t="n">
        <f aca="false">IF(5&lt;=Inputs!$C$11,F15-M15,IF(5&lt;=Inputs!$C$11+2,0,""))</f>
        <v>11195.0342465753</v>
      </c>
      <c r="U15" s="43" t="n">
        <f aca="false">IF(5&lt;=Inputs!$C$11+2,G15,"")</f>
        <v>25925.3424657534</v>
      </c>
      <c r="V15" s="43" t="n">
        <f aca="false">IF(5&lt;=Inputs!$C$11+1,Inputs!$C$38,IF(5=Inputs!$C$11+2,0,""))</f>
        <v>925000</v>
      </c>
      <c r="W15" s="43" t="n">
        <f aca="false">IF(5&lt;=Inputs!$C$11+2,U15-S15,"")</f>
        <v>11195.0342465753</v>
      </c>
      <c r="X15" s="47" t="n">
        <f aca="false">IF(5&lt;=Inputs!$C$11,IF(OR(Inputs!$C$23="",Inputs!$C$22=""),0,MAX(0,EDATE(Inputs!$C$10,5)-MAX(EDATE(Inputs!$C$10,4),Inputs!$C$23))),"")</f>
        <v>0</v>
      </c>
      <c r="Z15" s="44" t="n">
        <f aca="false">EDATE(Inputs!$C$10,9)</f>
        <v>46508</v>
      </c>
      <c r="AA15" s="45" t="n">
        <f aca="false">IF(9&lt;=Inputs!$C$11,IF(Inputs!$C$24="Serviced Monthly",F19,0)+IF(9=Inputs!$C$11,Inputs!$C$14+Inputs!$D$17,0),0)</f>
        <v>25089.0410958904</v>
      </c>
      <c r="AB15" s="45" t="n">
        <f aca="false">AA15-IF(9&lt;=Inputs!$C$11,M19,0)-IF(9=Inputs!$C$11,Inputs!$C$37+Inputs!$D$36,0)</f>
        <v>10833.904109589</v>
      </c>
    </row>
    <row r="16" customFormat="false" ht="15" hidden="false" customHeight="false" outlineLevel="0" collapsed="false">
      <c r="A16" s="39" t="n">
        <f aca="false">IF(6&lt;=Inputs!$C$11,6,"")</f>
        <v>6</v>
      </c>
      <c r="B16" s="40" t="n">
        <f aca="false">IF(6&lt;=Inputs!$C$11,EDATE(Inputs!$C$10,6),IF(6&lt;=Inputs!$C$11+2,EDATE(Inputs!$C$10,Inputs!$C$11),""))</f>
        <v>46419</v>
      </c>
      <c r="C16" s="41" t="str">
        <f aca="false">IF(6&lt;=Inputs!$C$11,IF(AND(N(X16)&gt;0,N(X16)&lt;D16),"Interest (rate change)","Interest"),IF(6=Inputs!$C$11+1,"Exit fee ("&amp;TEXT(Inputs!$C$17,"0.00%")&amp;")",IF(6=Inputs!$C$11+2,"Redemption – principal repaid","")))</f>
        <v>Interest</v>
      </c>
      <c r="D16" s="46" t="n">
        <f aca="false">IF(6&lt;=Inputs!$C$11,EDATE(Inputs!$C$10,6)-EDATE(Inputs!$C$10,5),"")</f>
        <v>31</v>
      </c>
      <c r="E16" s="43" t="n">
        <f aca="false">IF(6&lt;=Inputs!$C$11+2,0,"")</f>
        <v>0</v>
      </c>
      <c r="F16" s="43" t="n">
        <f aca="false">IF(6&lt;=Inputs!$C$11,Inputs!$C$14*(Inputs!$C$21*(D16-X16)+IF(Inputs!$C$22="",Inputs!$C$21,Inputs!$C$22)*X16)/365,IF(6&lt;=Inputs!$C$11+2,0,""))</f>
        <v>25925.3424657534</v>
      </c>
      <c r="G16" s="43" t="n">
        <f aca="false">IF(6&lt;=Inputs!$C$11,IF(Inputs!$C$24="Serviced Monthly",F16,0),IF(6=Inputs!$C$11+1,Inputs!$D$17,IF(6=Inputs!$C$11+2,Inputs!$C$14,"")))</f>
        <v>25925.3424657534</v>
      </c>
      <c r="H16" s="43" t="n">
        <f aca="false">IF(6&lt;=Inputs!$C$11+1,Inputs!$C$14,IF(6=Inputs!$C$11+2,0,""))</f>
        <v>3700000</v>
      </c>
      <c r="I16" s="43" t="n">
        <f aca="false">IF(6&lt;=Inputs!$C$11+2,G16,"")</f>
        <v>25925.3424657534</v>
      </c>
      <c r="K16" s="41" t="str">
        <f aca="false">IF(Inputs!$C$37=0,"",IF(6&lt;=Inputs!$C$11,"Senior interest",IF(6=Inputs!$C$11+1,"Senior exit fee ("&amp;TEXT(Inputs!$C$36,"0.00%")&amp;")",IF(6=Inputs!$C$11+2,"Senior loan repaid",""))))</f>
        <v>Senior interest</v>
      </c>
      <c r="L16" s="43" t="n">
        <f aca="false">IF(6&lt;=Inputs!$C$11,M16,IF(6=Inputs!$C$11+1,Inputs!$D$36,IF(6=Inputs!$C$11+2,Inputs!$C$37,"")))</f>
        <v>14730.3082191781</v>
      </c>
      <c r="M16" s="43" t="n">
        <f aca="false">IF(6&lt;=Inputs!$C$11,Inputs!$C$37*Inputs!$C$35*D16/365,IF(6&lt;=Inputs!$C$11+2,0,""))</f>
        <v>14730.3082191781</v>
      </c>
      <c r="N16" s="43" t="n">
        <f aca="false">IF(6&lt;=Inputs!$C$11+2,0,"")</f>
        <v>0</v>
      </c>
      <c r="O16" s="43" t="n">
        <f aca="false">IF(6&lt;=Inputs!$C$11+1,Inputs!$C$37,IF(6=Inputs!$C$11+2,0,""))</f>
        <v>2775000</v>
      </c>
      <c r="P16" s="43" t="n">
        <f aca="false">IF(6&lt;=Inputs!$C$11+2,N16-L16,"")</f>
        <v>-14730.3082191781</v>
      </c>
      <c r="R16" s="41" t="str">
        <f aca="false">IF(6&lt;=Inputs!$C$11,"Net interest margin",IF(6=Inputs!$C$11+1,"Net exit fee",IF(6=Inputs!$C$11+2,"Redemption in / senior repaid","")))</f>
        <v>Net interest margin</v>
      </c>
      <c r="S16" s="43" t="n">
        <f aca="false">IF(6&lt;=Inputs!$C$11+2,L16,"")</f>
        <v>14730.3082191781</v>
      </c>
      <c r="T16" s="43" t="n">
        <f aca="false">IF(6&lt;=Inputs!$C$11,F16-M16,IF(6&lt;=Inputs!$C$11+2,0,""))</f>
        <v>11195.0342465753</v>
      </c>
      <c r="U16" s="43" t="n">
        <f aca="false">IF(6&lt;=Inputs!$C$11+2,G16,"")</f>
        <v>25925.3424657534</v>
      </c>
      <c r="V16" s="43" t="n">
        <f aca="false">IF(6&lt;=Inputs!$C$11+1,Inputs!$C$38,IF(6=Inputs!$C$11+2,0,""))</f>
        <v>925000</v>
      </c>
      <c r="W16" s="43" t="n">
        <f aca="false">IF(6&lt;=Inputs!$C$11+2,U16-S16,"")</f>
        <v>11195.0342465753</v>
      </c>
      <c r="X16" s="47" t="n">
        <f aca="false">IF(6&lt;=Inputs!$C$11,IF(OR(Inputs!$C$23="",Inputs!$C$22=""),0,MAX(0,EDATE(Inputs!$C$10,6)-MAX(EDATE(Inputs!$C$10,5),Inputs!$C$23))),"")</f>
        <v>0</v>
      </c>
      <c r="Z16" s="44" t="n">
        <f aca="false">EDATE(Inputs!$C$10,10)</f>
        <v>46539</v>
      </c>
      <c r="AA16" s="45" t="n">
        <f aca="false">IF(10&lt;=Inputs!$C$11,IF(Inputs!$C$24="Serviced Monthly",F20,0)+IF(10=Inputs!$C$11,Inputs!$C$14+Inputs!$D$17,0),0)</f>
        <v>25925.3424657534</v>
      </c>
      <c r="AB16" s="45" t="n">
        <f aca="false">AA16-IF(10&lt;=Inputs!$C$11,M20,0)-IF(10=Inputs!$C$11,Inputs!$C$37+Inputs!$D$36,0)</f>
        <v>11195.0342465753</v>
      </c>
    </row>
    <row r="17" customFormat="false" ht="15" hidden="false" customHeight="false" outlineLevel="0" collapsed="false">
      <c r="A17" s="39" t="n">
        <f aca="false">IF(7&lt;=Inputs!$C$11,7,"")</f>
        <v>7</v>
      </c>
      <c r="B17" s="40" t="n">
        <f aca="false">IF(7&lt;=Inputs!$C$11,EDATE(Inputs!$C$10,7),IF(7&lt;=Inputs!$C$11+2,EDATE(Inputs!$C$10,Inputs!$C$11),""))</f>
        <v>46447</v>
      </c>
      <c r="C17" s="41" t="str">
        <f aca="false">IF(7&lt;=Inputs!$C$11,IF(AND(N(X17)&gt;0,N(X17)&lt;D17),"Interest (rate change)","Interest"),IF(7=Inputs!$C$11+1,"Exit fee ("&amp;TEXT(Inputs!$C$17,"0.00%")&amp;")",IF(7=Inputs!$C$11+2,"Redemption – principal repaid","")))</f>
        <v>Interest</v>
      </c>
      <c r="D17" s="46" t="n">
        <f aca="false">IF(7&lt;=Inputs!$C$11,EDATE(Inputs!$C$10,7)-EDATE(Inputs!$C$10,6),"")</f>
        <v>28</v>
      </c>
      <c r="E17" s="43" t="n">
        <f aca="false">IF(7&lt;=Inputs!$C$11+2,0,"")</f>
        <v>0</v>
      </c>
      <c r="F17" s="43" t="n">
        <f aca="false">IF(7&lt;=Inputs!$C$11,Inputs!$C$14*(Inputs!$C$21*(D17-X17)+IF(Inputs!$C$22="",Inputs!$C$21,Inputs!$C$22)*X17)/365,IF(7&lt;=Inputs!$C$11+2,0,""))</f>
        <v>23416.4383561644</v>
      </c>
      <c r="G17" s="43" t="n">
        <f aca="false">IF(7&lt;=Inputs!$C$11,IF(Inputs!$C$24="Serviced Monthly",F17,0),IF(7=Inputs!$C$11+1,Inputs!$D$17,IF(7=Inputs!$C$11+2,Inputs!$C$14,"")))</f>
        <v>23416.4383561644</v>
      </c>
      <c r="H17" s="43" t="n">
        <f aca="false">IF(7&lt;=Inputs!$C$11+1,Inputs!$C$14,IF(7=Inputs!$C$11+2,0,""))</f>
        <v>3700000</v>
      </c>
      <c r="I17" s="43" t="n">
        <f aca="false">IF(7&lt;=Inputs!$C$11+2,G17,"")</f>
        <v>23416.4383561644</v>
      </c>
      <c r="K17" s="41" t="str">
        <f aca="false">IF(Inputs!$C$37=0,"",IF(7&lt;=Inputs!$C$11,"Senior interest",IF(7=Inputs!$C$11+1,"Senior exit fee ("&amp;TEXT(Inputs!$C$36,"0.00%")&amp;")",IF(7=Inputs!$C$11+2,"Senior loan repaid",""))))</f>
        <v>Senior interest</v>
      </c>
      <c r="L17" s="43" t="n">
        <f aca="false">IF(7&lt;=Inputs!$C$11,M17,IF(7=Inputs!$C$11+1,Inputs!$D$36,IF(7=Inputs!$C$11+2,Inputs!$C$37,"")))</f>
        <v>13304.7945205479</v>
      </c>
      <c r="M17" s="43" t="n">
        <f aca="false">IF(7&lt;=Inputs!$C$11,Inputs!$C$37*Inputs!$C$35*D17/365,IF(7&lt;=Inputs!$C$11+2,0,""))</f>
        <v>13304.7945205479</v>
      </c>
      <c r="N17" s="43" t="n">
        <f aca="false">IF(7&lt;=Inputs!$C$11+2,0,"")</f>
        <v>0</v>
      </c>
      <c r="O17" s="43" t="n">
        <f aca="false">IF(7&lt;=Inputs!$C$11+1,Inputs!$C$37,IF(7=Inputs!$C$11+2,0,""))</f>
        <v>2775000</v>
      </c>
      <c r="P17" s="43" t="n">
        <f aca="false">IF(7&lt;=Inputs!$C$11+2,N17-L17,"")</f>
        <v>-13304.7945205479</v>
      </c>
      <c r="R17" s="41" t="str">
        <f aca="false">IF(7&lt;=Inputs!$C$11,"Net interest margin",IF(7=Inputs!$C$11+1,"Net exit fee",IF(7=Inputs!$C$11+2,"Redemption in / senior repaid","")))</f>
        <v>Net interest margin</v>
      </c>
      <c r="S17" s="43" t="n">
        <f aca="false">IF(7&lt;=Inputs!$C$11+2,L17,"")</f>
        <v>13304.7945205479</v>
      </c>
      <c r="T17" s="43" t="n">
        <f aca="false">IF(7&lt;=Inputs!$C$11,F17-M17,IF(7&lt;=Inputs!$C$11+2,0,""))</f>
        <v>10111.6438356164</v>
      </c>
      <c r="U17" s="43" t="n">
        <f aca="false">IF(7&lt;=Inputs!$C$11+2,G17,"")</f>
        <v>23416.4383561644</v>
      </c>
      <c r="V17" s="43" t="n">
        <f aca="false">IF(7&lt;=Inputs!$C$11+1,Inputs!$C$38,IF(7=Inputs!$C$11+2,0,""))</f>
        <v>925000</v>
      </c>
      <c r="W17" s="43" t="n">
        <f aca="false">IF(7&lt;=Inputs!$C$11+2,U17-S17,"")</f>
        <v>10111.6438356164</v>
      </c>
      <c r="X17" s="47" t="n">
        <f aca="false">IF(7&lt;=Inputs!$C$11,IF(OR(Inputs!$C$23="",Inputs!$C$22=""),0,MAX(0,EDATE(Inputs!$C$10,7)-MAX(EDATE(Inputs!$C$10,6),Inputs!$C$23))),"")</f>
        <v>0</v>
      </c>
      <c r="Z17" s="44" t="n">
        <f aca="false">EDATE(Inputs!$C$10,11)</f>
        <v>46569</v>
      </c>
      <c r="AA17" s="45" t="n">
        <f aca="false">IF(11&lt;=Inputs!$C$11,IF(Inputs!$C$24="Serviced Monthly",F21,0)+IF(11=Inputs!$C$11,Inputs!$C$14+Inputs!$D$17,0),0)</f>
        <v>25089.0410958904</v>
      </c>
      <c r="AB17" s="45" t="n">
        <f aca="false">AA17-IF(11&lt;=Inputs!$C$11,M21,0)-IF(11=Inputs!$C$11,Inputs!$C$37+Inputs!$D$36,0)</f>
        <v>10833.904109589</v>
      </c>
    </row>
    <row r="18" customFormat="false" ht="15" hidden="false" customHeight="false" outlineLevel="0" collapsed="false">
      <c r="A18" s="39" t="n">
        <f aca="false">IF(8&lt;=Inputs!$C$11,8,"")</f>
        <v>8</v>
      </c>
      <c r="B18" s="40" t="n">
        <f aca="false">IF(8&lt;=Inputs!$C$11,EDATE(Inputs!$C$10,8),IF(8&lt;=Inputs!$C$11+2,EDATE(Inputs!$C$10,Inputs!$C$11),""))</f>
        <v>46478</v>
      </c>
      <c r="C18" s="41" t="str">
        <f aca="false">IF(8&lt;=Inputs!$C$11,IF(AND(N(X18)&gt;0,N(X18)&lt;D18),"Interest (rate change)","Interest"),IF(8=Inputs!$C$11+1,"Exit fee ("&amp;TEXT(Inputs!$C$17,"0.00%")&amp;")",IF(8=Inputs!$C$11+2,"Redemption – principal repaid","")))</f>
        <v>Interest</v>
      </c>
      <c r="D18" s="46" t="n">
        <f aca="false">IF(8&lt;=Inputs!$C$11,EDATE(Inputs!$C$10,8)-EDATE(Inputs!$C$10,7),"")</f>
        <v>31</v>
      </c>
      <c r="E18" s="43" t="n">
        <f aca="false">IF(8&lt;=Inputs!$C$11+2,0,"")</f>
        <v>0</v>
      </c>
      <c r="F18" s="43" t="n">
        <f aca="false">IF(8&lt;=Inputs!$C$11,Inputs!$C$14*(Inputs!$C$21*(D18-X18)+IF(Inputs!$C$22="",Inputs!$C$21,Inputs!$C$22)*X18)/365,IF(8&lt;=Inputs!$C$11+2,0,""))</f>
        <v>25925.3424657534</v>
      </c>
      <c r="G18" s="43" t="n">
        <f aca="false">IF(8&lt;=Inputs!$C$11,IF(Inputs!$C$24="Serviced Monthly",F18,0),IF(8=Inputs!$C$11+1,Inputs!$D$17,IF(8=Inputs!$C$11+2,Inputs!$C$14,"")))</f>
        <v>25925.3424657534</v>
      </c>
      <c r="H18" s="43" t="n">
        <f aca="false">IF(8&lt;=Inputs!$C$11+1,Inputs!$C$14,IF(8=Inputs!$C$11+2,0,""))</f>
        <v>3700000</v>
      </c>
      <c r="I18" s="43" t="n">
        <f aca="false">IF(8&lt;=Inputs!$C$11+2,G18,"")</f>
        <v>25925.3424657534</v>
      </c>
      <c r="K18" s="41" t="str">
        <f aca="false">IF(Inputs!$C$37=0,"",IF(8&lt;=Inputs!$C$11,"Senior interest",IF(8=Inputs!$C$11+1,"Senior exit fee ("&amp;TEXT(Inputs!$C$36,"0.00%")&amp;")",IF(8=Inputs!$C$11+2,"Senior loan repaid",""))))</f>
        <v>Senior interest</v>
      </c>
      <c r="L18" s="43" t="n">
        <f aca="false">IF(8&lt;=Inputs!$C$11,M18,IF(8=Inputs!$C$11+1,Inputs!$D$36,IF(8=Inputs!$C$11+2,Inputs!$C$37,"")))</f>
        <v>14730.3082191781</v>
      </c>
      <c r="M18" s="43" t="n">
        <f aca="false">IF(8&lt;=Inputs!$C$11,Inputs!$C$37*Inputs!$C$35*D18/365,IF(8&lt;=Inputs!$C$11+2,0,""))</f>
        <v>14730.3082191781</v>
      </c>
      <c r="N18" s="43" t="n">
        <f aca="false">IF(8&lt;=Inputs!$C$11+2,0,"")</f>
        <v>0</v>
      </c>
      <c r="O18" s="43" t="n">
        <f aca="false">IF(8&lt;=Inputs!$C$11+1,Inputs!$C$37,IF(8=Inputs!$C$11+2,0,""))</f>
        <v>2775000</v>
      </c>
      <c r="P18" s="43" t="n">
        <f aca="false">IF(8&lt;=Inputs!$C$11+2,N18-L18,"")</f>
        <v>-14730.3082191781</v>
      </c>
      <c r="R18" s="41" t="str">
        <f aca="false">IF(8&lt;=Inputs!$C$11,"Net interest margin",IF(8=Inputs!$C$11+1,"Net exit fee",IF(8=Inputs!$C$11+2,"Redemption in / senior repaid","")))</f>
        <v>Net interest margin</v>
      </c>
      <c r="S18" s="43" t="n">
        <f aca="false">IF(8&lt;=Inputs!$C$11+2,L18,"")</f>
        <v>14730.3082191781</v>
      </c>
      <c r="T18" s="43" t="n">
        <f aca="false">IF(8&lt;=Inputs!$C$11,F18-M18,IF(8&lt;=Inputs!$C$11+2,0,""))</f>
        <v>11195.0342465753</v>
      </c>
      <c r="U18" s="43" t="n">
        <f aca="false">IF(8&lt;=Inputs!$C$11+2,G18,"")</f>
        <v>25925.3424657534</v>
      </c>
      <c r="V18" s="43" t="n">
        <f aca="false">IF(8&lt;=Inputs!$C$11+1,Inputs!$C$38,IF(8=Inputs!$C$11+2,0,""))</f>
        <v>925000</v>
      </c>
      <c r="W18" s="43" t="n">
        <f aca="false">IF(8&lt;=Inputs!$C$11+2,U18-S18,"")</f>
        <v>11195.0342465753</v>
      </c>
      <c r="X18" s="47" t="n">
        <f aca="false">IF(8&lt;=Inputs!$C$11,IF(OR(Inputs!$C$23="",Inputs!$C$22=""),0,MAX(0,EDATE(Inputs!$C$10,8)-MAX(EDATE(Inputs!$C$10,7),Inputs!$C$23))),"")</f>
        <v>0</v>
      </c>
      <c r="Z18" s="44" t="n">
        <f aca="false">EDATE(Inputs!$C$10,12)</f>
        <v>46600</v>
      </c>
      <c r="AA18" s="45" t="n">
        <f aca="false">IF(12&lt;=Inputs!$C$11,IF(Inputs!$C$24="Serviced Monthly",F22,0)+IF(12=Inputs!$C$11,Inputs!$C$14+Inputs!$D$17,0),0)</f>
        <v>25925.3424657534</v>
      </c>
      <c r="AB18" s="45" t="n">
        <f aca="false">AA18-IF(12&lt;=Inputs!$C$11,M22,0)-IF(12=Inputs!$C$11,Inputs!$C$37+Inputs!$D$36,0)</f>
        <v>11195.0342465753</v>
      </c>
    </row>
    <row r="19" customFormat="false" ht="15" hidden="false" customHeight="false" outlineLevel="0" collapsed="false">
      <c r="A19" s="39" t="n">
        <f aca="false">IF(9&lt;=Inputs!$C$11,9,"")</f>
        <v>9</v>
      </c>
      <c r="B19" s="40" t="n">
        <f aca="false">IF(9&lt;=Inputs!$C$11,EDATE(Inputs!$C$10,9),IF(9&lt;=Inputs!$C$11+2,EDATE(Inputs!$C$10,Inputs!$C$11),""))</f>
        <v>46508</v>
      </c>
      <c r="C19" s="41" t="str">
        <f aca="false">IF(9&lt;=Inputs!$C$11,IF(AND(N(X19)&gt;0,N(X19)&lt;D19),"Interest (rate change)","Interest"),IF(9=Inputs!$C$11+1,"Exit fee ("&amp;TEXT(Inputs!$C$17,"0.00%")&amp;")",IF(9=Inputs!$C$11+2,"Redemption – principal repaid","")))</f>
        <v>Interest</v>
      </c>
      <c r="D19" s="46" t="n">
        <f aca="false">IF(9&lt;=Inputs!$C$11,EDATE(Inputs!$C$10,9)-EDATE(Inputs!$C$10,8),"")</f>
        <v>30</v>
      </c>
      <c r="E19" s="43" t="n">
        <f aca="false">IF(9&lt;=Inputs!$C$11+2,0,"")</f>
        <v>0</v>
      </c>
      <c r="F19" s="43" t="n">
        <f aca="false">IF(9&lt;=Inputs!$C$11,Inputs!$C$14*(Inputs!$C$21*(D19-X19)+IF(Inputs!$C$22="",Inputs!$C$21,Inputs!$C$22)*X19)/365,IF(9&lt;=Inputs!$C$11+2,0,""))</f>
        <v>25089.0410958904</v>
      </c>
      <c r="G19" s="43" t="n">
        <f aca="false">IF(9&lt;=Inputs!$C$11,IF(Inputs!$C$24="Serviced Monthly",F19,0),IF(9=Inputs!$C$11+1,Inputs!$D$17,IF(9=Inputs!$C$11+2,Inputs!$C$14,"")))</f>
        <v>25089.0410958904</v>
      </c>
      <c r="H19" s="43" t="n">
        <f aca="false">IF(9&lt;=Inputs!$C$11+1,Inputs!$C$14,IF(9=Inputs!$C$11+2,0,""))</f>
        <v>3700000</v>
      </c>
      <c r="I19" s="43" t="n">
        <f aca="false">IF(9&lt;=Inputs!$C$11+2,G19,"")</f>
        <v>25089.0410958904</v>
      </c>
      <c r="K19" s="41" t="str">
        <f aca="false">IF(Inputs!$C$37=0,"",IF(9&lt;=Inputs!$C$11,"Senior interest",IF(9=Inputs!$C$11+1,"Senior exit fee ("&amp;TEXT(Inputs!$C$36,"0.00%")&amp;")",IF(9=Inputs!$C$11+2,"Senior loan repaid",""))))</f>
        <v>Senior interest</v>
      </c>
      <c r="L19" s="43" t="n">
        <f aca="false">IF(9&lt;=Inputs!$C$11,M19,IF(9=Inputs!$C$11+1,Inputs!$D$36,IF(9=Inputs!$C$11+2,Inputs!$C$37,"")))</f>
        <v>14255.1369863014</v>
      </c>
      <c r="M19" s="43" t="n">
        <f aca="false">IF(9&lt;=Inputs!$C$11,Inputs!$C$37*Inputs!$C$35*D19/365,IF(9&lt;=Inputs!$C$11+2,0,""))</f>
        <v>14255.1369863014</v>
      </c>
      <c r="N19" s="43" t="n">
        <f aca="false">IF(9&lt;=Inputs!$C$11+2,0,"")</f>
        <v>0</v>
      </c>
      <c r="O19" s="43" t="n">
        <f aca="false">IF(9&lt;=Inputs!$C$11+1,Inputs!$C$37,IF(9=Inputs!$C$11+2,0,""))</f>
        <v>2775000</v>
      </c>
      <c r="P19" s="43" t="n">
        <f aca="false">IF(9&lt;=Inputs!$C$11+2,N19-L19,"")</f>
        <v>-14255.1369863014</v>
      </c>
      <c r="R19" s="41" t="str">
        <f aca="false">IF(9&lt;=Inputs!$C$11,"Net interest margin",IF(9=Inputs!$C$11+1,"Net exit fee",IF(9=Inputs!$C$11+2,"Redemption in / senior repaid","")))</f>
        <v>Net interest margin</v>
      </c>
      <c r="S19" s="43" t="n">
        <f aca="false">IF(9&lt;=Inputs!$C$11+2,L19,"")</f>
        <v>14255.1369863014</v>
      </c>
      <c r="T19" s="43" t="n">
        <f aca="false">IF(9&lt;=Inputs!$C$11,F19-M19,IF(9&lt;=Inputs!$C$11+2,0,""))</f>
        <v>10833.904109589</v>
      </c>
      <c r="U19" s="43" t="n">
        <f aca="false">IF(9&lt;=Inputs!$C$11+2,G19,"")</f>
        <v>25089.0410958904</v>
      </c>
      <c r="V19" s="43" t="n">
        <f aca="false">IF(9&lt;=Inputs!$C$11+1,Inputs!$C$38,IF(9=Inputs!$C$11+2,0,""))</f>
        <v>925000</v>
      </c>
      <c r="W19" s="43" t="n">
        <f aca="false">IF(9&lt;=Inputs!$C$11+2,U19-S19,"")</f>
        <v>10833.904109589</v>
      </c>
      <c r="X19" s="47" t="n">
        <f aca="false">IF(9&lt;=Inputs!$C$11,IF(OR(Inputs!$C$23="",Inputs!$C$22=""),0,MAX(0,EDATE(Inputs!$C$10,9)-MAX(EDATE(Inputs!$C$10,8),Inputs!$C$23))),"")</f>
        <v>0</v>
      </c>
      <c r="Z19" s="44" t="n">
        <f aca="false">EDATE(Inputs!$C$10,13)</f>
        <v>46631</v>
      </c>
      <c r="AA19" s="45" t="n">
        <f aca="false">IF(13&lt;=Inputs!$C$11,IF(Inputs!$C$24="Serviced Monthly",F23,0)+IF(13=Inputs!$C$11,Inputs!$C$14+Inputs!$D$17,0),0)</f>
        <v>25925.3424657534</v>
      </c>
      <c r="AB19" s="45" t="n">
        <f aca="false">AA19-IF(13&lt;=Inputs!$C$11,M23,0)-IF(13=Inputs!$C$11,Inputs!$C$37+Inputs!$D$36,0)</f>
        <v>11195.0342465753</v>
      </c>
    </row>
    <row r="20" customFormat="false" ht="15" hidden="false" customHeight="false" outlineLevel="0" collapsed="false">
      <c r="A20" s="39" t="n">
        <f aca="false">IF(10&lt;=Inputs!$C$11,10,"")</f>
        <v>10</v>
      </c>
      <c r="B20" s="40" t="n">
        <f aca="false">IF(10&lt;=Inputs!$C$11,EDATE(Inputs!$C$10,10),IF(10&lt;=Inputs!$C$11+2,EDATE(Inputs!$C$10,Inputs!$C$11),""))</f>
        <v>46539</v>
      </c>
      <c r="C20" s="41" t="str">
        <f aca="false">IF(10&lt;=Inputs!$C$11,IF(AND(N(X20)&gt;0,N(X20)&lt;D20),"Interest (rate change)","Interest"),IF(10=Inputs!$C$11+1,"Exit fee ("&amp;TEXT(Inputs!$C$17,"0.00%")&amp;")",IF(10=Inputs!$C$11+2,"Redemption – principal repaid","")))</f>
        <v>Interest</v>
      </c>
      <c r="D20" s="46" t="n">
        <f aca="false">IF(10&lt;=Inputs!$C$11,EDATE(Inputs!$C$10,10)-EDATE(Inputs!$C$10,9),"")</f>
        <v>31</v>
      </c>
      <c r="E20" s="43" t="n">
        <f aca="false">IF(10&lt;=Inputs!$C$11+2,0,"")</f>
        <v>0</v>
      </c>
      <c r="F20" s="43" t="n">
        <f aca="false">IF(10&lt;=Inputs!$C$11,Inputs!$C$14*(Inputs!$C$21*(D20-X20)+IF(Inputs!$C$22="",Inputs!$C$21,Inputs!$C$22)*X20)/365,IF(10&lt;=Inputs!$C$11+2,0,""))</f>
        <v>25925.3424657534</v>
      </c>
      <c r="G20" s="43" t="n">
        <f aca="false">IF(10&lt;=Inputs!$C$11,IF(Inputs!$C$24="Serviced Monthly",F20,0),IF(10=Inputs!$C$11+1,Inputs!$D$17,IF(10=Inputs!$C$11+2,Inputs!$C$14,"")))</f>
        <v>25925.3424657534</v>
      </c>
      <c r="H20" s="43" t="n">
        <f aca="false">IF(10&lt;=Inputs!$C$11+1,Inputs!$C$14,IF(10=Inputs!$C$11+2,0,""))</f>
        <v>3700000</v>
      </c>
      <c r="I20" s="43" t="n">
        <f aca="false">IF(10&lt;=Inputs!$C$11+2,G20,"")</f>
        <v>25925.3424657534</v>
      </c>
      <c r="K20" s="41" t="str">
        <f aca="false">IF(Inputs!$C$37=0,"",IF(10&lt;=Inputs!$C$11,"Senior interest",IF(10=Inputs!$C$11+1,"Senior exit fee ("&amp;TEXT(Inputs!$C$36,"0.00%")&amp;")",IF(10=Inputs!$C$11+2,"Senior loan repaid",""))))</f>
        <v>Senior interest</v>
      </c>
      <c r="L20" s="43" t="n">
        <f aca="false">IF(10&lt;=Inputs!$C$11,M20,IF(10=Inputs!$C$11+1,Inputs!$D$36,IF(10=Inputs!$C$11+2,Inputs!$C$37,"")))</f>
        <v>14730.3082191781</v>
      </c>
      <c r="M20" s="43" t="n">
        <f aca="false">IF(10&lt;=Inputs!$C$11,Inputs!$C$37*Inputs!$C$35*D20/365,IF(10&lt;=Inputs!$C$11+2,0,""))</f>
        <v>14730.3082191781</v>
      </c>
      <c r="N20" s="43" t="n">
        <f aca="false">IF(10&lt;=Inputs!$C$11+2,0,"")</f>
        <v>0</v>
      </c>
      <c r="O20" s="43" t="n">
        <f aca="false">IF(10&lt;=Inputs!$C$11+1,Inputs!$C$37,IF(10=Inputs!$C$11+2,0,""))</f>
        <v>2775000</v>
      </c>
      <c r="P20" s="43" t="n">
        <f aca="false">IF(10&lt;=Inputs!$C$11+2,N20-L20,"")</f>
        <v>-14730.3082191781</v>
      </c>
      <c r="R20" s="41" t="str">
        <f aca="false">IF(10&lt;=Inputs!$C$11,"Net interest margin",IF(10=Inputs!$C$11+1,"Net exit fee",IF(10=Inputs!$C$11+2,"Redemption in / senior repaid","")))</f>
        <v>Net interest margin</v>
      </c>
      <c r="S20" s="43" t="n">
        <f aca="false">IF(10&lt;=Inputs!$C$11+2,L20,"")</f>
        <v>14730.3082191781</v>
      </c>
      <c r="T20" s="43" t="n">
        <f aca="false">IF(10&lt;=Inputs!$C$11,F20-M20,IF(10&lt;=Inputs!$C$11+2,0,""))</f>
        <v>11195.0342465753</v>
      </c>
      <c r="U20" s="43" t="n">
        <f aca="false">IF(10&lt;=Inputs!$C$11+2,G20,"")</f>
        <v>25925.3424657534</v>
      </c>
      <c r="V20" s="43" t="n">
        <f aca="false">IF(10&lt;=Inputs!$C$11+1,Inputs!$C$38,IF(10=Inputs!$C$11+2,0,""))</f>
        <v>925000</v>
      </c>
      <c r="W20" s="43" t="n">
        <f aca="false">IF(10&lt;=Inputs!$C$11+2,U20-S20,"")</f>
        <v>11195.0342465753</v>
      </c>
      <c r="X20" s="47" t="n">
        <f aca="false">IF(10&lt;=Inputs!$C$11,IF(OR(Inputs!$C$23="",Inputs!$C$22=""),0,MAX(0,EDATE(Inputs!$C$10,10)-MAX(EDATE(Inputs!$C$10,9),Inputs!$C$23))),"")</f>
        <v>0</v>
      </c>
      <c r="Z20" s="44" t="n">
        <f aca="false">EDATE(Inputs!$C$10,14)</f>
        <v>46661</v>
      </c>
      <c r="AA20" s="45" t="n">
        <f aca="false">IF(14&lt;=Inputs!$C$11,IF(Inputs!$C$24="Serviced Monthly",F24,0)+IF(14=Inputs!$C$11,Inputs!$C$14+Inputs!$D$17,0),0)</f>
        <v>25089.0410958904</v>
      </c>
      <c r="AB20" s="45" t="n">
        <f aca="false">AA20-IF(14&lt;=Inputs!$C$11,M24,0)-IF(14=Inputs!$C$11,Inputs!$C$37+Inputs!$D$36,0)</f>
        <v>10833.904109589</v>
      </c>
    </row>
    <row r="21" customFormat="false" ht="15" hidden="false" customHeight="false" outlineLevel="0" collapsed="false">
      <c r="A21" s="39" t="n">
        <f aca="false">IF(11&lt;=Inputs!$C$11,11,"")</f>
        <v>11</v>
      </c>
      <c r="B21" s="40" t="n">
        <f aca="false">IF(11&lt;=Inputs!$C$11,EDATE(Inputs!$C$10,11),IF(11&lt;=Inputs!$C$11+2,EDATE(Inputs!$C$10,Inputs!$C$11),""))</f>
        <v>46569</v>
      </c>
      <c r="C21" s="41" t="str">
        <f aca="false">IF(11&lt;=Inputs!$C$11,IF(AND(N(X21)&gt;0,N(X21)&lt;D21),"Interest (rate change)","Interest"),IF(11=Inputs!$C$11+1,"Exit fee ("&amp;TEXT(Inputs!$C$17,"0.00%")&amp;")",IF(11=Inputs!$C$11+2,"Redemption – principal repaid","")))</f>
        <v>Interest</v>
      </c>
      <c r="D21" s="46" t="n">
        <f aca="false">IF(11&lt;=Inputs!$C$11,EDATE(Inputs!$C$10,11)-EDATE(Inputs!$C$10,10),"")</f>
        <v>30</v>
      </c>
      <c r="E21" s="43" t="n">
        <f aca="false">IF(11&lt;=Inputs!$C$11+2,0,"")</f>
        <v>0</v>
      </c>
      <c r="F21" s="43" t="n">
        <f aca="false">IF(11&lt;=Inputs!$C$11,Inputs!$C$14*(Inputs!$C$21*(D21-X21)+IF(Inputs!$C$22="",Inputs!$C$21,Inputs!$C$22)*X21)/365,IF(11&lt;=Inputs!$C$11+2,0,""))</f>
        <v>25089.0410958904</v>
      </c>
      <c r="G21" s="43" t="n">
        <f aca="false">IF(11&lt;=Inputs!$C$11,IF(Inputs!$C$24="Serviced Monthly",F21,0),IF(11=Inputs!$C$11+1,Inputs!$D$17,IF(11=Inputs!$C$11+2,Inputs!$C$14,"")))</f>
        <v>25089.0410958904</v>
      </c>
      <c r="H21" s="43" t="n">
        <f aca="false">IF(11&lt;=Inputs!$C$11+1,Inputs!$C$14,IF(11=Inputs!$C$11+2,0,""))</f>
        <v>3700000</v>
      </c>
      <c r="I21" s="43" t="n">
        <f aca="false">IF(11&lt;=Inputs!$C$11+2,G21,"")</f>
        <v>25089.0410958904</v>
      </c>
      <c r="K21" s="41" t="str">
        <f aca="false">IF(Inputs!$C$37=0,"",IF(11&lt;=Inputs!$C$11,"Senior interest",IF(11=Inputs!$C$11+1,"Senior exit fee ("&amp;TEXT(Inputs!$C$36,"0.00%")&amp;")",IF(11=Inputs!$C$11+2,"Senior loan repaid",""))))</f>
        <v>Senior interest</v>
      </c>
      <c r="L21" s="43" t="n">
        <f aca="false">IF(11&lt;=Inputs!$C$11,M21,IF(11=Inputs!$C$11+1,Inputs!$D$36,IF(11=Inputs!$C$11+2,Inputs!$C$37,"")))</f>
        <v>14255.1369863014</v>
      </c>
      <c r="M21" s="43" t="n">
        <f aca="false">IF(11&lt;=Inputs!$C$11,Inputs!$C$37*Inputs!$C$35*D21/365,IF(11&lt;=Inputs!$C$11+2,0,""))</f>
        <v>14255.1369863014</v>
      </c>
      <c r="N21" s="43" t="n">
        <f aca="false">IF(11&lt;=Inputs!$C$11+2,0,"")</f>
        <v>0</v>
      </c>
      <c r="O21" s="43" t="n">
        <f aca="false">IF(11&lt;=Inputs!$C$11+1,Inputs!$C$37,IF(11=Inputs!$C$11+2,0,""))</f>
        <v>2775000</v>
      </c>
      <c r="P21" s="43" t="n">
        <f aca="false">IF(11&lt;=Inputs!$C$11+2,N21-L21,"")</f>
        <v>-14255.1369863014</v>
      </c>
      <c r="R21" s="41" t="str">
        <f aca="false">IF(11&lt;=Inputs!$C$11,"Net interest margin",IF(11=Inputs!$C$11+1,"Net exit fee",IF(11=Inputs!$C$11+2,"Redemption in / senior repaid","")))</f>
        <v>Net interest margin</v>
      </c>
      <c r="S21" s="43" t="n">
        <f aca="false">IF(11&lt;=Inputs!$C$11+2,L21,"")</f>
        <v>14255.1369863014</v>
      </c>
      <c r="T21" s="43" t="n">
        <f aca="false">IF(11&lt;=Inputs!$C$11,F21-M21,IF(11&lt;=Inputs!$C$11+2,0,""))</f>
        <v>10833.904109589</v>
      </c>
      <c r="U21" s="43" t="n">
        <f aca="false">IF(11&lt;=Inputs!$C$11+2,G21,"")</f>
        <v>25089.0410958904</v>
      </c>
      <c r="V21" s="43" t="n">
        <f aca="false">IF(11&lt;=Inputs!$C$11+1,Inputs!$C$38,IF(11=Inputs!$C$11+2,0,""))</f>
        <v>925000</v>
      </c>
      <c r="W21" s="43" t="n">
        <f aca="false">IF(11&lt;=Inputs!$C$11+2,U21-S21,"")</f>
        <v>10833.904109589</v>
      </c>
      <c r="X21" s="47" t="n">
        <f aca="false">IF(11&lt;=Inputs!$C$11,IF(OR(Inputs!$C$23="",Inputs!$C$22=""),0,MAX(0,EDATE(Inputs!$C$10,11)-MAX(EDATE(Inputs!$C$10,10),Inputs!$C$23))),"")</f>
        <v>0</v>
      </c>
      <c r="Z21" s="44" t="n">
        <f aca="false">EDATE(Inputs!$C$10,15)</f>
        <v>46692</v>
      </c>
      <c r="AA21" s="45" t="n">
        <f aca="false">IF(15&lt;=Inputs!$C$11,IF(Inputs!$C$24="Serviced Monthly",F25,0)+IF(15=Inputs!$C$11,Inputs!$C$14+Inputs!$D$17,0),0)</f>
        <v>25925.3424657534</v>
      </c>
      <c r="AB21" s="45" t="n">
        <f aca="false">AA21-IF(15&lt;=Inputs!$C$11,M25,0)-IF(15=Inputs!$C$11,Inputs!$C$37+Inputs!$D$36,0)</f>
        <v>11195.0342465753</v>
      </c>
    </row>
    <row r="22" customFormat="false" ht="15" hidden="false" customHeight="false" outlineLevel="0" collapsed="false">
      <c r="A22" s="39" t="n">
        <f aca="false">IF(12&lt;=Inputs!$C$11,12,"")</f>
        <v>12</v>
      </c>
      <c r="B22" s="40" t="n">
        <f aca="false">IF(12&lt;=Inputs!$C$11,EDATE(Inputs!$C$10,12),IF(12&lt;=Inputs!$C$11+2,EDATE(Inputs!$C$10,Inputs!$C$11),""))</f>
        <v>46600</v>
      </c>
      <c r="C22" s="41" t="str">
        <f aca="false">IF(12&lt;=Inputs!$C$11,IF(AND(N(X22)&gt;0,N(X22)&lt;D22),"Interest (rate change)","Interest"),IF(12=Inputs!$C$11+1,"Exit fee ("&amp;TEXT(Inputs!$C$17,"0.00%")&amp;")",IF(12=Inputs!$C$11+2,"Redemption – principal repaid","")))</f>
        <v>Interest</v>
      </c>
      <c r="D22" s="46" t="n">
        <f aca="false">IF(12&lt;=Inputs!$C$11,EDATE(Inputs!$C$10,12)-EDATE(Inputs!$C$10,11),"")</f>
        <v>31</v>
      </c>
      <c r="E22" s="43" t="n">
        <f aca="false">IF(12&lt;=Inputs!$C$11+2,0,"")</f>
        <v>0</v>
      </c>
      <c r="F22" s="43" t="n">
        <f aca="false">IF(12&lt;=Inputs!$C$11,Inputs!$C$14*(Inputs!$C$21*(D22-X22)+IF(Inputs!$C$22="",Inputs!$C$21,Inputs!$C$22)*X22)/365,IF(12&lt;=Inputs!$C$11+2,0,""))</f>
        <v>25925.3424657534</v>
      </c>
      <c r="G22" s="43" t="n">
        <f aca="false">IF(12&lt;=Inputs!$C$11,IF(Inputs!$C$24="Serviced Monthly",F22,0),IF(12=Inputs!$C$11+1,Inputs!$D$17,IF(12=Inputs!$C$11+2,Inputs!$C$14,"")))</f>
        <v>25925.3424657534</v>
      </c>
      <c r="H22" s="43" t="n">
        <f aca="false">IF(12&lt;=Inputs!$C$11+1,Inputs!$C$14,IF(12=Inputs!$C$11+2,0,""))</f>
        <v>3700000</v>
      </c>
      <c r="I22" s="43" t="n">
        <f aca="false">IF(12&lt;=Inputs!$C$11+2,G22,"")</f>
        <v>25925.3424657534</v>
      </c>
      <c r="K22" s="41" t="str">
        <f aca="false">IF(Inputs!$C$37=0,"",IF(12&lt;=Inputs!$C$11,"Senior interest",IF(12=Inputs!$C$11+1,"Senior exit fee ("&amp;TEXT(Inputs!$C$36,"0.00%")&amp;")",IF(12=Inputs!$C$11+2,"Senior loan repaid",""))))</f>
        <v>Senior interest</v>
      </c>
      <c r="L22" s="43" t="n">
        <f aca="false">IF(12&lt;=Inputs!$C$11,M22,IF(12=Inputs!$C$11+1,Inputs!$D$36,IF(12=Inputs!$C$11+2,Inputs!$C$37,"")))</f>
        <v>14730.3082191781</v>
      </c>
      <c r="M22" s="43" t="n">
        <f aca="false">IF(12&lt;=Inputs!$C$11,Inputs!$C$37*Inputs!$C$35*D22/365,IF(12&lt;=Inputs!$C$11+2,0,""))</f>
        <v>14730.3082191781</v>
      </c>
      <c r="N22" s="43" t="n">
        <f aca="false">IF(12&lt;=Inputs!$C$11+2,0,"")</f>
        <v>0</v>
      </c>
      <c r="O22" s="43" t="n">
        <f aca="false">IF(12&lt;=Inputs!$C$11+1,Inputs!$C$37,IF(12=Inputs!$C$11+2,0,""))</f>
        <v>2775000</v>
      </c>
      <c r="P22" s="43" t="n">
        <f aca="false">IF(12&lt;=Inputs!$C$11+2,N22-L22,"")</f>
        <v>-14730.3082191781</v>
      </c>
      <c r="R22" s="41" t="str">
        <f aca="false">IF(12&lt;=Inputs!$C$11,"Net interest margin",IF(12=Inputs!$C$11+1,"Net exit fee",IF(12=Inputs!$C$11+2,"Redemption in / senior repaid","")))</f>
        <v>Net interest margin</v>
      </c>
      <c r="S22" s="43" t="n">
        <f aca="false">IF(12&lt;=Inputs!$C$11+2,L22,"")</f>
        <v>14730.3082191781</v>
      </c>
      <c r="T22" s="43" t="n">
        <f aca="false">IF(12&lt;=Inputs!$C$11,F22-M22,IF(12&lt;=Inputs!$C$11+2,0,""))</f>
        <v>11195.0342465753</v>
      </c>
      <c r="U22" s="43" t="n">
        <f aca="false">IF(12&lt;=Inputs!$C$11+2,G22,"")</f>
        <v>25925.3424657534</v>
      </c>
      <c r="V22" s="43" t="n">
        <f aca="false">IF(12&lt;=Inputs!$C$11+1,Inputs!$C$38,IF(12=Inputs!$C$11+2,0,""))</f>
        <v>925000</v>
      </c>
      <c r="W22" s="43" t="n">
        <f aca="false">IF(12&lt;=Inputs!$C$11+2,U22-S22,"")</f>
        <v>11195.0342465753</v>
      </c>
      <c r="X22" s="47" t="n">
        <f aca="false">IF(12&lt;=Inputs!$C$11,IF(OR(Inputs!$C$23="",Inputs!$C$22=""),0,MAX(0,EDATE(Inputs!$C$10,12)-MAX(EDATE(Inputs!$C$10,11),Inputs!$C$23))),"")</f>
        <v>0</v>
      </c>
      <c r="Z22" s="44" t="n">
        <f aca="false">EDATE(Inputs!$C$10,16)</f>
        <v>46722</v>
      </c>
      <c r="AA22" s="45" t="n">
        <f aca="false">IF(16&lt;=Inputs!$C$11,IF(Inputs!$C$24="Serviced Monthly",F26,0)+IF(16=Inputs!$C$11,Inputs!$C$14+Inputs!$D$17,0),0)</f>
        <v>25089.0410958904</v>
      </c>
      <c r="AB22" s="45" t="n">
        <f aca="false">AA22-IF(16&lt;=Inputs!$C$11,M26,0)-IF(16=Inputs!$C$11,Inputs!$C$37+Inputs!$D$36,0)</f>
        <v>10833.904109589</v>
      </c>
    </row>
    <row r="23" customFormat="false" ht="15" hidden="false" customHeight="false" outlineLevel="0" collapsed="false">
      <c r="A23" s="39" t="n">
        <f aca="false">IF(13&lt;=Inputs!$C$11,13,"")</f>
        <v>13</v>
      </c>
      <c r="B23" s="40" t="n">
        <f aca="false">IF(13&lt;=Inputs!$C$11,EDATE(Inputs!$C$10,13),IF(13&lt;=Inputs!$C$11+2,EDATE(Inputs!$C$10,Inputs!$C$11),""))</f>
        <v>46631</v>
      </c>
      <c r="C23" s="41" t="str">
        <f aca="false">IF(13&lt;=Inputs!$C$11,IF(AND(N(X23)&gt;0,N(X23)&lt;D23),"Interest (rate change)","Interest"),IF(13=Inputs!$C$11+1,"Exit fee ("&amp;TEXT(Inputs!$C$17,"0.00%")&amp;")",IF(13=Inputs!$C$11+2,"Redemption – principal repaid","")))</f>
        <v>Interest</v>
      </c>
      <c r="D23" s="46" t="n">
        <f aca="false">IF(13&lt;=Inputs!$C$11,EDATE(Inputs!$C$10,13)-EDATE(Inputs!$C$10,12),"")</f>
        <v>31</v>
      </c>
      <c r="E23" s="43" t="n">
        <f aca="false">IF(13&lt;=Inputs!$C$11+2,0,"")</f>
        <v>0</v>
      </c>
      <c r="F23" s="43" t="n">
        <f aca="false">IF(13&lt;=Inputs!$C$11,Inputs!$C$14*(Inputs!$C$21*(D23-X23)+IF(Inputs!$C$22="",Inputs!$C$21,Inputs!$C$22)*X23)/365,IF(13&lt;=Inputs!$C$11+2,0,""))</f>
        <v>25925.3424657534</v>
      </c>
      <c r="G23" s="43" t="n">
        <f aca="false">IF(13&lt;=Inputs!$C$11,IF(Inputs!$C$24="Serviced Monthly",F23,0),IF(13=Inputs!$C$11+1,Inputs!$D$17,IF(13=Inputs!$C$11+2,Inputs!$C$14,"")))</f>
        <v>25925.3424657534</v>
      </c>
      <c r="H23" s="43" t="n">
        <f aca="false">IF(13&lt;=Inputs!$C$11+1,Inputs!$C$14,IF(13=Inputs!$C$11+2,0,""))</f>
        <v>3700000</v>
      </c>
      <c r="I23" s="43" t="n">
        <f aca="false">IF(13&lt;=Inputs!$C$11+2,G23,"")</f>
        <v>25925.3424657534</v>
      </c>
      <c r="K23" s="41" t="str">
        <f aca="false">IF(Inputs!$C$37=0,"",IF(13&lt;=Inputs!$C$11,"Senior interest",IF(13=Inputs!$C$11+1,"Senior exit fee ("&amp;TEXT(Inputs!$C$36,"0.00%")&amp;")",IF(13=Inputs!$C$11+2,"Senior loan repaid",""))))</f>
        <v>Senior interest</v>
      </c>
      <c r="L23" s="43" t="n">
        <f aca="false">IF(13&lt;=Inputs!$C$11,M23,IF(13=Inputs!$C$11+1,Inputs!$D$36,IF(13=Inputs!$C$11+2,Inputs!$C$37,"")))</f>
        <v>14730.3082191781</v>
      </c>
      <c r="M23" s="43" t="n">
        <f aca="false">IF(13&lt;=Inputs!$C$11,Inputs!$C$37*Inputs!$C$35*D23/365,IF(13&lt;=Inputs!$C$11+2,0,""))</f>
        <v>14730.3082191781</v>
      </c>
      <c r="N23" s="43" t="n">
        <f aca="false">IF(13&lt;=Inputs!$C$11+2,0,"")</f>
        <v>0</v>
      </c>
      <c r="O23" s="43" t="n">
        <f aca="false">IF(13&lt;=Inputs!$C$11+1,Inputs!$C$37,IF(13=Inputs!$C$11+2,0,""))</f>
        <v>2775000</v>
      </c>
      <c r="P23" s="43" t="n">
        <f aca="false">IF(13&lt;=Inputs!$C$11+2,N23-L23,"")</f>
        <v>-14730.3082191781</v>
      </c>
      <c r="R23" s="41" t="str">
        <f aca="false">IF(13&lt;=Inputs!$C$11,"Net interest margin",IF(13=Inputs!$C$11+1,"Net exit fee",IF(13=Inputs!$C$11+2,"Redemption in / senior repaid","")))</f>
        <v>Net interest margin</v>
      </c>
      <c r="S23" s="43" t="n">
        <f aca="false">IF(13&lt;=Inputs!$C$11+2,L23,"")</f>
        <v>14730.3082191781</v>
      </c>
      <c r="T23" s="43" t="n">
        <f aca="false">IF(13&lt;=Inputs!$C$11,F23-M23,IF(13&lt;=Inputs!$C$11+2,0,""))</f>
        <v>11195.0342465753</v>
      </c>
      <c r="U23" s="43" t="n">
        <f aca="false">IF(13&lt;=Inputs!$C$11+2,G23,"")</f>
        <v>25925.3424657534</v>
      </c>
      <c r="V23" s="43" t="n">
        <f aca="false">IF(13&lt;=Inputs!$C$11+1,Inputs!$C$38,IF(13=Inputs!$C$11+2,0,""))</f>
        <v>925000</v>
      </c>
      <c r="W23" s="43" t="n">
        <f aca="false">IF(13&lt;=Inputs!$C$11+2,U23-S23,"")</f>
        <v>11195.0342465753</v>
      </c>
      <c r="X23" s="47" t="n">
        <f aca="false">IF(13&lt;=Inputs!$C$11,IF(OR(Inputs!$C$23="",Inputs!$C$22=""),0,MAX(0,EDATE(Inputs!$C$10,13)-MAX(EDATE(Inputs!$C$10,12),Inputs!$C$23))),"")</f>
        <v>0</v>
      </c>
      <c r="Z23" s="44" t="n">
        <f aca="false">EDATE(Inputs!$C$10,17)</f>
        <v>46753</v>
      </c>
      <c r="AA23" s="45" t="n">
        <f aca="false">IF(17&lt;=Inputs!$C$11,IF(Inputs!$C$24="Serviced Monthly",F27,0)+IF(17=Inputs!$C$11,Inputs!$C$14+Inputs!$D$17,0),0)</f>
        <v>25925.3424657534</v>
      </c>
      <c r="AB23" s="45" t="n">
        <f aca="false">AA23-IF(17&lt;=Inputs!$C$11,M27,0)-IF(17=Inputs!$C$11,Inputs!$C$37+Inputs!$D$36,0)</f>
        <v>11195.0342465753</v>
      </c>
    </row>
    <row r="24" customFormat="false" ht="15" hidden="false" customHeight="false" outlineLevel="0" collapsed="false">
      <c r="A24" s="39" t="n">
        <f aca="false">IF(14&lt;=Inputs!$C$11,14,"")</f>
        <v>14</v>
      </c>
      <c r="B24" s="40" t="n">
        <f aca="false">IF(14&lt;=Inputs!$C$11,EDATE(Inputs!$C$10,14),IF(14&lt;=Inputs!$C$11+2,EDATE(Inputs!$C$10,Inputs!$C$11),""))</f>
        <v>46661</v>
      </c>
      <c r="C24" s="41" t="str">
        <f aca="false">IF(14&lt;=Inputs!$C$11,IF(AND(N(X24)&gt;0,N(X24)&lt;D24),"Interest (rate change)","Interest"),IF(14=Inputs!$C$11+1,"Exit fee ("&amp;TEXT(Inputs!$C$17,"0.00%")&amp;")",IF(14=Inputs!$C$11+2,"Redemption – principal repaid","")))</f>
        <v>Interest</v>
      </c>
      <c r="D24" s="46" t="n">
        <f aca="false">IF(14&lt;=Inputs!$C$11,EDATE(Inputs!$C$10,14)-EDATE(Inputs!$C$10,13),"")</f>
        <v>30</v>
      </c>
      <c r="E24" s="43" t="n">
        <f aca="false">IF(14&lt;=Inputs!$C$11+2,0,"")</f>
        <v>0</v>
      </c>
      <c r="F24" s="43" t="n">
        <f aca="false">IF(14&lt;=Inputs!$C$11,Inputs!$C$14*(Inputs!$C$21*(D24-X24)+IF(Inputs!$C$22="",Inputs!$C$21,Inputs!$C$22)*X24)/365,IF(14&lt;=Inputs!$C$11+2,0,""))</f>
        <v>25089.0410958904</v>
      </c>
      <c r="G24" s="43" t="n">
        <f aca="false">IF(14&lt;=Inputs!$C$11,IF(Inputs!$C$24="Serviced Monthly",F24,0),IF(14=Inputs!$C$11+1,Inputs!$D$17,IF(14=Inputs!$C$11+2,Inputs!$C$14,"")))</f>
        <v>25089.0410958904</v>
      </c>
      <c r="H24" s="43" t="n">
        <f aca="false">IF(14&lt;=Inputs!$C$11+1,Inputs!$C$14,IF(14=Inputs!$C$11+2,0,""))</f>
        <v>3700000</v>
      </c>
      <c r="I24" s="43" t="n">
        <f aca="false">IF(14&lt;=Inputs!$C$11+2,G24,"")</f>
        <v>25089.0410958904</v>
      </c>
      <c r="K24" s="41" t="str">
        <f aca="false">IF(Inputs!$C$37=0,"",IF(14&lt;=Inputs!$C$11,"Senior interest",IF(14=Inputs!$C$11+1,"Senior exit fee ("&amp;TEXT(Inputs!$C$36,"0.00%")&amp;")",IF(14=Inputs!$C$11+2,"Senior loan repaid",""))))</f>
        <v>Senior interest</v>
      </c>
      <c r="L24" s="43" t="n">
        <f aca="false">IF(14&lt;=Inputs!$C$11,M24,IF(14=Inputs!$C$11+1,Inputs!$D$36,IF(14=Inputs!$C$11+2,Inputs!$C$37,"")))</f>
        <v>14255.1369863014</v>
      </c>
      <c r="M24" s="43" t="n">
        <f aca="false">IF(14&lt;=Inputs!$C$11,Inputs!$C$37*Inputs!$C$35*D24/365,IF(14&lt;=Inputs!$C$11+2,0,""))</f>
        <v>14255.1369863014</v>
      </c>
      <c r="N24" s="43" t="n">
        <f aca="false">IF(14&lt;=Inputs!$C$11+2,0,"")</f>
        <v>0</v>
      </c>
      <c r="O24" s="43" t="n">
        <f aca="false">IF(14&lt;=Inputs!$C$11+1,Inputs!$C$37,IF(14=Inputs!$C$11+2,0,""))</f>
        <v>2775000</v>
      </c>
      <c r="P24" s="43" t="n">
        <f aca="false">IF(14&lt;=Inputs!$C$11+2,N24-L24,"")</f>
        <v>-14255.1369863014</v>
      </c>
      <c r="R24" s="41" t="str">
        <f aca="false">IF(14&lt;=Inputs!$C$11,"Net interest margin",IF(14=Inputs!$C$11+1,"Net exit fee",IF(14=Inputs!$C$11+2,"Redemption in / senior repaid","")))</f>
        <v>Net interest margin</v>
      </c>
      <c r="S24" s="43" t="n">
        <f aca="false">IF(14&lt;=Inputs!$C$11+2,L24,"")</f>
        <v>14255.1369863014</v>
      </c>
      <c r="T24" s="43" t="n">
        <f aca="false">IF(14&lt;=Inputs!$C$11,F24-M24,IF(14&lt;=Inputs!$C$11+2,0,""))</f>
        <v>10833.904109589</v>
      </c>
      <c r="U24" s="43" t="n">
        <f aca="false">IF(14&lt;=Inputs!$C$11+2,G24,"")</f>
        <v>25089.0410958904</v>
      </c>
      <c r="V24" s="43" t="n">
        <f aca="false">IF(14&lt;=Inputs!$C$11+1,Inputs!$C$38,IF(14=Inputs!$C$11+2,0,""))</f>
        <v>925000</v>
      </c>
      <c r="W24" s="43" t="n">
        <f aca="false">IF(14&lt;=Inputs!$C$11+2,U24-S24,"")</f>
        <v>10833.904109589</v>
      </c>
      <c r="X24" s="47" t="n">
        <f aca="false">IF(14&lt;=Inputs!$C$11,IF(OR(Inputs!$C$23="",Inputs!$C$22=""),0,MAX(0,EDATE(Inputs!$C$10,14)-MAX(EDATE(Inputs!$C$10,13),Inputs!$C$23))),"")</f>
        <v>0</v>
      </c>
      <c r="Z24" s="44" t="n">
        <f aca="false">EDATE(Inputs!$C$10,18)</f>
        <v>46784</v>
      </c>
      <c r="AA24" s="45" t="n">
        <f aca="false">IF(18&lt;=Inputs!$C$11,IF(Inputs!$C$24="Serviced Monthly",F28,0)+IF(18=Inputs!$C$11,Inputs!$C$14+Inputs!$D$17,0),0)</f>
        <v>25925.3424657534</v>
      </c>
      <c r="AB24" s="45" t="n">
        <f aca="false">AA24-IF(18&lt;=Inputs!$C$11,M28,0)-IF(18=Inputs!$C$11,Inputs!$C$37+Inputs!$D$36,0)</f>
        <v>11195.0342465753</v>
      </c>
    </row>
    <row r="25" customFormat="false" ht="15" hidden="false" customHeight="false" outlineLevel="0" collapsed="false">
      <c r="A25" s="39" t="n">
        <f aca="false">IF(15&lt;=Inputs!$C$11,15,"")</f>
        <v>15</v>
      </c>
      <c r="B25" s="40" t="n">
        <f aca="false">IF(15&lt;=Inputs!$C$11,EDATE(Inputs!$C$10,15),IF(15&lt;=Inputs!$C$11+2,EDATE(Inputs!$C$10,Inputs!$C$11),""))</f>
        <v>46692</v>
      </c>
      <c r="C25" s="41" t="str">
        <f aca="false">IF(15&lt;=Inputs!$C$11,IF(AND(N(X25)&gt;0,N(X25)&lt;D25),"Interest (rate change)","Interest"),IF(15=Inputs!$C$11+1,"Exit fee ("&amp;TEXT(Inputs!$C$17,"0.00%")&amp;")",IF(15=Inputs!$C$11+2,"Redemption – principal repaid","")))</f>
        <v>Interest</v>
      </c>
      <c r="D25" s="46" t="n">
        <f aca="false">IF(15&lt;=Inputs!$C$11,EDATE(Inputs!$C$10,15)-EDATE(Inputs!$C$10,14),"")</f>
        <v>31</v>
      </c>
      <c r="E25" s="43" t="n">
        <f aca="false">IF(15&lt;=Inputs!$C$11+2,0,"")</f>
        <v>0</v>
      </c>
      <c r="F25" s="43" t="n">
        <f aca="false">IF(15&lt;=Inputs!$C$11,Inputs!$C$14*(Inputs!$C$21*(D25-X25)+IF(Inputs!$C$22="",Inputs!$C$21,Inputs!$C$22)*X25)/365,IF(15&lt;=Inputs!$C$11+2,0,""))</f>
        <v>25925.3424657534</v>
      </c>
      <c r="G25" s="43" t="n">
        <f aca="false">IF(15&lt;=Inputs!$C$11,IF(Inputs!$C$24="Serviced Monthly",F25,0),IF(15=Inputs!$C$11+1,Inputs!$D$17,IF(15=Inputs!$C$11+2,Inputs!$C$14,"")))</f>
        <v>25925.3424657534</v>
      </c>
      <c r="H25" s="43" t="n">
        <f aca="false">IF(15&lt;=Inputs!$C$11+1,Inputs!$C$14,IF(15=Inputs!$C$11+2,0,""))</f>
        <v>3700000</v>
      </c>
      <c r="I25" s="43" t="n">
        <f aca="false">IF(15&lt;=Inputs!$C$11+2,G25,"")</f>
        <v>25925.3424657534</v>
      </c>
      <c r="K25" s="41" t="str">
        <f aca="false">IF(Inputs!$C$37=0,"",IF(15&lt;=Inputs!$C$11,"Senior interest",IF(15=Inputs!$C$11+1,"Senior exit fee ("&amp;TEXT(Inputs!$C$36,"0.00%")&amp;")",IF(15=Inputs!$C$11+2,"Senior loan repaid",""))))</f>
        <v>Senior interest</v>
      </c>
      <c r="L25" s="43" t="n">
        <f aca="false">IF(15&lt;=Inputs!$C$11,M25,IF(15=Inputs!$C$11+1,Inputs!$D$36,IF(15=Inputs!$C$11+2,Inputs!$C$37,"")))</f>
        <v>14730.3082191781</v>
      </c>
      <c r="M25" s="43" t="n">
        <f aca="false">IF(15&lt;=Inputs!$C$11,Inputs!$C$37*Inputs!$C$35*D25/365,IF(15&lt;=Inputs!$C$11+2,0,""))</f>
        <v>14730.3082191781</v>
      </c>
      <c r="N25" s="43" t="n">
        <f aca="false">IF(15&lt;=Inputs!$C$11+2,0,"")</f>
        <v>0</v>
      </c>
      <c r="O25" s="43" t="n">
        <f aca="false">IF(15&lt;=Inputs!$C$11+1,Inputs!$C$37,IF(15=Inputs!$C$11+2,0,""))</f>
        <v>2775000</v>
      </c>
      <c r="P25" s="43" t="n">
        <f aca="false">IF(15&lt;=Inputs!$C$11+2,N25-L25,"")</f>
        <v>-14730.3082191781</v>
      </c>
      <c r="R25" s="41" t="str">
        <f aca="false">IF(15&lt;=Inputs!$C$11,"Net interest margin",IF(15=Inputs!$C$11+1,"Net exit fee",IF(15=Inputs!$C$11+2,"Redemption in / senior repaid","")))</f>
        <v>Net interest margin</v>
      </c>
      <c r="S25" s="43" t="n">
        <f aca="false">IF(15&lt;=Inputs!$C$11+2,L25,"")</f>
        <v>14730.3082191781</v>
      </c>
      <c r="T25" s="43" t="n">
        <f aca="false">IF(15&lt;=Inputs!$C$11,F25-M25,IF(15&lt;=Inputs!$C$11+2,0,""))</f>
        <v>11195.0342465753</v>
      </c>
      <c r="U25" s="43" t="n">
        <f aca="false">IF(15&lt;=Inputs!$C$11+2,G25,"")</f>
        <v>25925.3424657534</v>
      </c>
      <c r="V25" s="43" t="n">
        <f aca="false">IF(15&lt;=Inputs!$C$11+1,Inputs!$C$38,IF(15=Inputs!$C$11+2,0,""))</f>
        <v>925000</v>
      </c>
      <c r="W25" s="43" t="n">
        <f aca="false">IF(15&lt;=Inputs!$C$11+2,U25-S25,"")</f>
        <v>11195.0342465753</v>
      </c>
      <c r="X25" s="47" t="n">
        <f aca="false">IF(15&lt;=Inputs!$C$11,IF(OR(Inputs!$C$23="",Inputs!$C$22=""),0,MAX(0,EDATE(Inputs!$C$10,15)-MAX(EDATE(Inputs!$C$10,14),Inputs!$C$23))),"")</f>
        <v>0</v>
      </c>
      <c r="Z25" s="44" t="n">
        <f aca="false">EDATE(Inputs!$C$10,19)</f>
        <v>46813</v>
      </c>
      <c r="AA25" s="45" t="n">
        <f aca="false">IF(19&lt;=Inputs!$C$11,IF(Inputs!$C$24="Serviced Monthly",F29,0)+IF(19=Inputs!$C$11,Inputs!$C$14+Inputs!$D$17,0),0)</f>
        <v>24252.7397260274</v>
      </c>
      <c r="AB25" s="45" t="n">
        <f aca="false">AA25-IF(19&lt;=Inputs!$C$11,M29,0)-IF(19=Inputs!$C$11,Inputs!$C$37+Inputs!$D$36,0)</f>
        <v>10472.7739726027</v>
      </c>
    </row>
    <row r="26" customFormat="false" ht="15" hidden="false" customHeight="false" outlineLevel="0" collapsed="false">
      <c r="A26" s="39" t="n">
        <f aca="false">IF(16&lt;=Inputs!$C$11,16,"")</f>
        <v>16</v>
      </c>
      <c r="B26" s="40" t="n">
        <f aca="false">IF(16&lt;=Inputs!$C$11,EDATE(Inputs!$C$10,16),IF(16&lt;=Inputs!$C$11+2,EDATE(Inputs!$C$10,Inputs!$C$11),""))</f>
        <v>46722</v>
      </c>
      <c r="C26" s="41" t="str">
        <f aca="false">IF(16&lt;=Inputs!$C$11,IF(AND(N(X26)&gt;0,N(X26)&lt;D26),"Interest (rate change)","Interest"),IF(16=Inputs!$C$11+1,"Exit fee ("&amp;TEXT(Inputs!$C$17,"0.00%")&amp;")",IF(16=Inputs!$C$11+2,"Redemption – principal repaid","")))</f>
        <v>Interest</v>
      </c>
      <c r="D26" s="46" t="n">
        <f aca="false">IF(16&lt;=Inputs!$C$11,EDATE(Inputs!$C$10,16)-EDATE(Inputs!$C$10,15),"")</f>
        <v>30</v>
      </c>
      <c r="E26" s="43" t="n">
        <f aca="false">IF(16&lt;=Inputs!$C$11+2,0,"")</f>
        <v>0</v>
      </c>
      <c r="F26" s="43" t="n">
        <f aca="false">IF(16&lt;=Inputs!$C$11,Inputs!$C$14*(Inputs!$C$21*(D26-X26)+IF(Inputs!$C$22="",Inputs!$C$21,Inputs!$C$22)*X26)/365,IF(16&lt;=Inputs!$C$11+2,0,""))</f>
        <v>25089.0410958904</v>
      </c>
      <c r="G26" s="43" t="n">
        <f aca="false">IF(16&lt;=Inputs!$C$11,IF(Inputs!$C$24="Serviced Monthly",F26,0),IF(16=Inputs!$C$11+1,Inputs!$D$17,IF(16=Inputs!$C$11+2,Inputs!$C$14,"")))</f>
        <v>25089.0410958904</v>
      </c>
      <c r="H26" s="43" t="n">
        <f aca="false">IF(16&lt;=Inputs!$C$11+1,Inputs!$C$14,IF(16=Inputs!$C$11+2,0,""))</f>
        <v>3700000</v>
      </c>
      <c r="I26" s="43" t="n">
        <f aca="false">IF(16&lt;=Inputs!$C$11+2,G26,"")</f>
        <v>25089.0410958904</v>
      </c>
      <c r="K26" s="41" t="str">
        <f aca="false">IF(Inputs!$C$37=0,"",IF(16&lt;=Inputs!$C$11,"Senior interest",IF(16=Inputs!$C$11+1,"Senior exit fee ("&amp;TEXT(Inputs!$C$36,"0.00%")&amp;")",IF(16=Inputs!$C$11+2,"Senior loan repaid",""))))</f>
        <v>Senior interest</v>
      </c>
      <c r="L26" s="43" t="n">
        <f aca="false">IF(16&lt;=Inputs!$C$11,M26,IF(16=Inputs!$C$11+1,Inputs!$D$36,IF(16=Inputs!$C$11+2,Inputs!$C$37,"")))</f>
        <v>14255.1369863014</v>
      </c>
      <c r="M26" s="43" t="n">
        <f aca="false">IF(16&lt;=Inputs!$C$11,Inputs!$C$37*Inputs!$C$35*D26/365,IF(16&lt;=Inputs!$C$11+2,0,""))</f>
        <v>14255.1369863014</v>
      </c>
      <c r="N26" s="43" t="n">
        <f aca="false">IF(16&lt;=Inputs!$C$11+2,0,"")</f>
        <v>0</v>
      </c>
      <c r="O26" s="43" t="n">
        <f aca="false">IF(16&lt;=Inputs!$C$11+1,Inputs!$C$37,IF(16=Inputs!$C$11+2,0,""))</f>
        <v>2775000</v>
      </c>
      <c r="P26" s="43" t="n">
        <f aca="false">IF(16&lt;=Inputs!$C$11+2,N26-L26,"")</f>
        <v>-14255.1369863014</v>
      </c>
      <c r="R26" s="41" t="str">
        <f aca="false">IF(16&lt;=Inputs!$C$11,"Net interest margin",IF(16=Inputs!$C$11+1,"Net exit fee",IF(16=Inputs!$C$11+2,"Redemption in / senior repaid","")))</f>
        <v>Net interest margin</v>
      </c>
      <c r="S26" s="43" t="n">
        <f aca="false">IF(16&lt;=Inputs!$C$11+2,L26,"")</f>
        <v>14255.1369863014</v>
      </c>
      <c r="T26" s="43" t="n">
        <f aca="false">IF(16&lt;=Inputs!$C$11,F26-M26,IF(16&lt;=Inputs!$C$11+2,0,""))</f>
        <v>10833.904109589</v>
      </c>
      <c r="U26" s="43" t="n">
        <f aca="false">IF(16&lt;=Inputs!$C$11+2,G26,"")</f>
        <v>25089.0410958904</v>
      </c>
      <c r="V26" s="43" t="n">
        <f aca="false">IF(16&lt;=Inputs!$C$11+1,Inputs!$C$38,IF(16=Inputs!$C$11+2,0,""))</f>
        <v>925000</v>
      </c>
      <c r="W26" s="43" t="n">
        <f aca="false">IF(16&lt;=Inputs!$C$11+2,U26-S26,"")</f>
        <v>10833.904109589</v>
      </c>
      <c r="X26" s="47" t="n">
        <f aca="false">IF(16&lt;=Inputs!$C$11,IF(OR(Inputs!$C$23="",Inputs!$C$22=""),0,MAX(0,EDATE(Inputs!$C$10,16)-MAX(EDATE(Inputs!$C$10,15),Inputs!$C$23))),"")</f>
        <v>0</v>
      </c>
      <c r="Z26" s="44" t="n">
        <f aca="false">EDATE(Inputs!$C$10,20)</f>
        <v>46844</v>
      </c>
      <c r="AA26" s="45" t="n">
        <f aca="false">IF(20&lt;=Inputs!$C$11,IF(Inputs!$C$24="Serviced Monthly",F30,0)+IF(20=Inputs!$C$11,Inputs!$C$14+Inputs!$D$17,0),0)</f>
        <v>25925.3424657534</v>
      </c>
      <c r="AB26" s="45" t="n">
        <f aca="false">AA26-IF(20&lt;=Inputs!$C$11,M30,0)-IF(20=Inputs!$C$11,Inputs!$C$37+Inputs!$D$36,0)</f>
        <v>11195.0342465753</v>
      </c>
    </row>
    <row r="27" customFormat="false" ht="15" hidden="false" customHeight="false" outlineLevel="0" collapsed="false">
      <c r="A27" s="39" t="n">
        <f aca="false">IF(17&lt;=Inputs!$C$11,17,"")</f>
        <v>17</v>
      </c>
      <c r="B27" s="40" t="n">
        <f aca="false">IF(17&lt;=Inputs!$C$11,EDATE(Inputs!$C$10,17),IF(17&lt;=Inputs!$C$11+2,EDATE(Inputs!$C$10,Inputs!$C$11),""))</f>
        <v>46753</v>
      </c>
      <c r="C27" s="41" t="str">
        <f aca="false">IF(17&lt;=Inputs!$C$11,IF(AND(N(X27)&gt;0,N(X27)&lt;D27),"Interest (rate change)","Interest"),IF(17=Inputs!$C$11+1,"Exit fee ("&amp;TEXT(Inputs!$C$17,"0.00%")&amp;")",IF(17=Inputs!$C$11+2,"Redemption – principal repaid","")))</f>
        <v>Interest</v>
      </c>
      <c r="D27" s="46" t="n">
        <f aca="false">IF(17&lt;=Inputs!$C$11,EDATE(Inputs!$C$10,17)-EDATE(Inputs!$C$10,16),"")</f>
        <v>31</v>
      </c>
      <c r="E27" s="43" t="n">
        <f aca="false">IF(17&lt;=Inputs!$C$11+2,0,"")</f>
        <v>0</v>
      </c>
      <c r="F27" s="43" t="n">
        <f aca="false">IF(17&lt;=Inputs!$C$11,Inputs!$C$14*(Inputs!$C$21*(D27-X27)+IF(Inputs!$C$22="",Inputs!$C$21,Inputs!$C$22)*X27)/365,IF(17&lt;=Inputs!$C$11+2,0,""))</f>
        <v>25925.3424657534</v>
      </c>
      <c r="G27" s="43" t="n">
        <f aca="false">IF(17&lt;=Inputs!$C$11,IF(Inputs!$C$24="Serviced Monthly",F27,0),IF(17=Inputs!$C$11+1,Inputs!$D$17,IF(17=Inputs!$C$11+2,Inputs!$C$14,"")))</f>
        <v>25925.3424657534</v>
      </c>
      <c r="H27" s="43" t="n">
        <f aca="false">IF(17&lt;=Inputs!$C$11+1,Inputs!$C$14,IF(17=Inputs!$C$11+2,0,""))</f>
        <v>3700000</v>
      </c>
      <c r="I27" s="43" t="n">
        <f aca="false">IF(17&lt;=Inputs!$C$11+2,G27,"")</f>
        <v>25925.3424657534</v>
      </c>
      <c r="K27" s="41" t="str">
        <f aca="false">IF(Inputs!$C$37=0,"",IF(17&lt;=Inputs!$C$11,"Senior interest",IF(17=Inputs!$C$11+1,"Senior exit fee ("&amp;TEXT(Inputs!$C$36,"0.00%")&amp;")",IF(17=Inputs!$C$11+2,"Senior loan repaid",""))))</f>
        <v>Senior interest</v>
      </c>
      <c r="L27" s="43" t="n">
        <f aca="false">IF(17&lt;=Inputs!$C$11,M27,IF(17=Inputs!$C$11+1,Inputs!$D$36,IF(17=Inputs!$C$11+2,Inputs!$C$37,"")))</f>
        <v>14730.3082191781</v>
      </c>
      <c r="M27" s="43" t="n">
        <f aca="false">IF(17&lt;=Inputs!$C$11,Inputs!$C$37*Inputs!$C$35*D27/365,IF(17&lt;=Inputs!$C$11+2,0,""))</f>
        <v>14730.3082191781</v>
      </c>
      <c r="N27" s="43" t="n">
        <f aca="false">IF(17&lt;=Inputs!$C$11+2,0,"")</f>
        <v>0</v>
      </c>
      <c r="O27" s="43" t="n">
        <f aca="false">IF(17&lt;=Inputs!$C$11+1,Inputs!$C$37,IF(17=Inputs!$C$11+2,0,""))</f>
        <v>2775000</v>
      </c>
      <c r="P27" s="43" t="n">
        <f aca="false">IF(17&lt;=Inputs!$C$11+2,N27-L27,"")</f>
        <v>-14730.3082191781</v>
      </c>
      <c r="R27" s="41" t="str">
        <f aca="false">IF(17&lt;=Inputs!$C$11,"Net interest margin",IF(17=Inputs!$C$11+1,"Net exit fee",IF(17=Inputs!$C$11+2,"Redemption in / senior repaid","")))</f>
        <v>Net interest margin</v>
      </c>
      <c r="S27" s="43" t="n">
        <f aca="false">IF(17&lt;=Inputs!$C$11+2,L27,"")</f>
        <v>14730.3082191781</v>
      </c>
      <c r="T27" s="43" t="n">
        <f aca="false">IF(17&lt;=Inputs!$C$11,F27-M27,IF(17&lt;=Inputs!$C$11+2,0,""))</f>
        <v>11195.0342465753</v>
      </c>
      <c r="U27" s="43" t="n">
        <f aca="false">IF(17&lt;=Inputs!$C$11+2,G27,"")</f>
        <v>25925.3424657534</v>
      </c>
      <c r="V27" s="43" t="n">
        <f aca="false">IF(17&lt;=Inputs!$C$11+1,Inputs!$C$38,IF(17=Inputs!$C$11+2,0,""))</f>
        <v>925000</v>
      </c>
      <c r="W27" s="43" t="n">
        <f aca="false">IF(17&lt;=Inputs!$C$11+2,U27-S27,"")</f>
        <v>11195.0342465753</v>
      </c>
      <c r="X27" s="47" t="n">
        <f aca="false">IF(17&lt;=Inputs!$C$11,IF(OR(Inputs!$C$23="",Inputs!$C$22=""),0,MAX(0,EDATE(Inputs!$C$10,17)-MAX(EDATE(Inputs!$C$10,16),Inputs!$C$23))),"")</f>
        <v>0</v>
      </c>
      <c r="Z27" s="44" t="n">
        <f aca="false">EDATE(Inputs!$C$10,21)</f>
        <v>46874</v>
      </c>
      <c r="AA27" s="45" t="n">
        <f aca="false">IF(21&lt;=Inputs!$C$11,IF(Inputs!$C$24="Serviced Monthly",F31,0)+IF(21=Inputs!$C$11,Inputs!$C$14+Inputs!$D$17,0),0)</f>
        <v>25089.0410958904</v>
      </c>
      <c r="AB27" s="45" t="n">
        <f aca="false">AA27-IF(21&lt;=Inputs!$C$11,M31,0)-IF(21=Inputs!$C$11,Inputs!$C$37+Inputs!$D$36,0)</f>
        <v>10833.904109589</v>
      </c>
    </row>
    <row r="28" customFormat="false" ht="15" hidden="false" customHeight="false" outlineLevel="0" collapsed="false">
      <c r="A28" s="39" t="n">
        <f aca="false">IF(18&lt;=Inputs!$C$11,18,"")</f>
        <v>18</v>
      </c>
      <c r="B28" s="40" t="n">
        <f aca="false">IF(18&lt;=Inputs!$C$11,EDATE(Inputs!$C$10,18),IF(18&lt;=Inputs!$C$11+2,EDATE(Inputs!$C$10,Inputs!$C$11),""))</f>
        <v>46784</v>
      </c>
      <c r="C28" s="41" t="str">
        <f aca="false">IF(18&lt;=Inputs!$C$11,IF(AND(N(X28)&gt;0,N(X28)&lt;D28),"Interest (rate change)","Interest"),IF(18=Inputs!$C$11+1,"Exit fee ("&amp;TEXT(Inputs!$C$17,"0.00%")&amp;")",IF(18=Inputs!$C$11+2,"Redemption – principal repaid","")))</f>
        <v>Interest</v>
      </c>
      <c r="D28" s="46" t="n">
        <f aca="false">IF(18&lt;=Inputs!$C$11,EDATE(Inputs!$C$10,18)-EDATE(Inputs!$C$10,17),"")</f>
        <v>31</v>
      </c>
      <c r="E28" s="43" t="n">
        <f aca="false">IF(18&lt;=Inputs!$C$11+2,0,"")</f>
        <v>0</v>
      </c>
      <c r="F28" s="43" t="n">
        <f aca="false">IF(18&lt;=Inputs!$C$11,Inputs!$C$14*(Inputs!$C$21*(D28-X28)+IF(Inputs!$C$22="",Inputs!$C$21,Inputs!$C$22)*X28)/365,IF(18&lt;=Inputs!$C$11+2,0,""))</f>
        <v>25925.3424657534</v>
      </c>
      <c r="G28" s="43" t="n">
        <f aca="false">IF(18&lt;=Inputs!$C$11,IF(Inputs!$C$24="Serviced Monthly",F28,0),IF(18=Inputs!$C$11+1,Inputs!$D$17,IF(18=Inputs!$C$11+2,Inputs!$C$14,"")))</f>
        <v>25925.3424657534</v>
      </c>
      <c r="H28" s="43" t="n">
        <f aca="false">IF(18&lt;=Inputs!$C$11+1,Inputs!$C$14,IF(18=Inputs!$C$11+2,0,""))</f>
        <v>3700000</v>
      </c>
      <c r="I28" s="43" t="n">
        <f aca="false">IF(18&lt;=Inputs!$C$11+2,G28,"")</f>
        <v>25925.3424657534</v>
      </c>
      <c r="K28" s="41" t="str">
        <f aca="false">IF(Inputs!$C$37=0,"",IF(18&lt;=Inputs!$C$11,"Senior interest",IF(18=Inputs!$C$11+1,"Senior exit fee ("&amp;TEXT(Inputs!$C$36,"0.00%")&amp;")",IF(18=Inputs!$C$11+2,"Senior loan repaid",""))))</f>
        <v>Senior interest</v>
      </c>
      <c r="L28" s="43" t="n">
        <f aca="false">IF(18&lt;=Inputs!$C$11,M28,IF(18=Inputs!$C$11+1,Inputs!$D$36,IF(18=Inputs!$C$11+2,Inputs!$C$37,"")))</f>
        <v>14730.3082191781</v>
      </c>
      <c r="M28" s="43" t="n">
        <f aca="false">IF(18&lt;=Inputs!$C$11,Inputs!$C$37*Inputs!$C$35*D28/365,IF(18&lt;=Inputs!$C$11+2,0,""))</f>
        <v>14730.3082191781</v>
      </c>
      <c r="N28" s="43" t="n">
        <f aca="false">IF(18&lt;=Inputs!$C$11+2,0,"")</f>
        <v>0</v>
      </c>
      <c r="O28" s="43" t="n">
        <f aca="false">IF(18&lt;=Inputs!$C$11+1,Inputs!$C$37,IF(18=Inputs!$C$11+2,0,""))</f>
        <v>2775000</v>
      </c>
      <c r="P28" s="43" t="n">
        <f aca="false">IF(18&lt;=Inputs!$C$11+2,N28-L28,"")</f>
        <v>-14730.3082191781</v>
      </c>
      <c r="R28" s="41" t="str">
        <f aca="false">IF(18&lt;=Inputs!$C$11,"Net interest margin",IF(18=Inputs!$C$11+1,"Net exit fee",IF(18=Inputs!$C$11+2,"Redemption in / senior repaid","")))</f>
        <v>Net interest margin</v>
      </c>
      <c r="S28" s="43" t="n">
        <f aca="false">IF(18&lt;=Inputs!$C$11+2,L28,"")</f>
        <v>14730.3082191781</v>
      </c>
      <c r="T28" s="43" t="n">
        <f aca="false">IF(18&lt;=Inputs!$C$11,F28-M28,IF(18&lt;=Inputs!$C$11+2,0,""))</f>
        <v>11195.0342465753</v>
      </c>
      <c r="U28" s="43" t="n">
        <f aca="false">IF(18&lt;=Inputs!$C$11+2,G28,"")</f>
        <v>25925.3424657534</v>
      </c>
      <c r="V28" s="43" t="n">
        <f aca="false">IF(18&lt;=Inputs!$C$11+1,Inputs!$C$38,IF(18=Inputs!$C$11+2,0,""))</f>
        <v>925000</v>
      </c>
      <c r="W28" s="43" t="n">
        <f aca="false">IF(18&lt;=Inputs!$C$11+2,U28-S28,"")</f>
        <v>11195.0342465753</v>
      </c>
      <c r="X28" s="47" t="n">
        <f aca="false">IF(18&lt;=Inputs!$C$11,IF(OR(Inputs!$C$23="",Inputs!$C$22=""),0,MAX(0,EDATE(Inputs!$C$10,18)-MAX(EDATE(Inputs!$C$10,17),Inputs!$C$23))),"")</f>
        <v>0</v>
      </c>
      <c r="Z28" s="44" t="n">
        <f aca="false">EDATE(Inputs!$C$10,22)</f>
        <v>46905</v>
      </c>
      <c r="AA28" s="45" t="n">
        <f aca="false">IF(22&lt;=Inputs!$C$11,IF(Inputs!$C$24="Serviced Monthly",F32,0)+IF(22=Inputs!$C$11,Inputs!$C$14+Inputs!$D$17,0),0)</f>
        <v>25925.3424657534</v>
      </c>
      <c r="AB28" s="45" t="n">
        <f aca="false">AA28-IF(22&lt;=Inputs!$C$11,M32,0)-IF(22=Inputs!$C$11,Inputs!$C$37+Inputs!$D$36,0)</f>
        <v>11195.0342465753</v>
      </c>
    </row>
    <row r="29" customFormat="false" ht="15" hidden="false" customHeight="false" outlineLevel="0" collapsed="false">
      <c r="A29" s="39" t="n">
        <f aca="false">IF(19&lt;=Inputs!$C$11,19,"")</f>
        <v>19</v>
      </c>
      <c r="B29" s="40" t="n">
        <f aca="false">IF(19&lt;=Inputs!$C$11,EDATE(Inputs!$C$10,19),IF(19&lt;=Inputs!$C$11+2,EDATE(Inputs!$C$10,Inputs!$C$11),""))</f>
        <v>46813</v>
      </c>
      <c r="C29" s="41" t="str">
        <f aca="false">IF(19&lt;=Inputs!$C$11,IF(AND(N(X29)&gt;0,N(X29)&lt;D29),"Interest (rate change)","Interest"),IF(19=Inputs!$C$11+1,"Exit fee ("&amp;TEXT(Inputs!$C$17,"0.00%")&amp;")",IF(19=Inputs!$C$11+2,"Redemption – principal repaid","")))</f>
        <v>Interest</v>
      </c>
      <c r="D29" s="46" t="n">
        <f aca="false">IF(19&lt;=Inputs!$C$11,EDATE(Inputs!$C$10,19)-EDATE(Inputs!$C$10,18),"")</f>
        <v>29</v>
      </c>
      <c r="E29" s="43" t="n">
        <f aca="false">IF(19&lt;=Inputs!$C$11+2,0,"")</f>
        <v>0</v>
      </c>
      <c r="F29" s="43" t="n">
        <f aca="false">IF(19&lt;=Inputs!$C$11,Inputs!$C$14*(Inputs!$C$21*(D29-X29)+IF(Inputs!$C$22="",Inputs!$C$21,Inputs!$C$22)*X29)/365,IF(19&lt;=Inputs!$C$11+2,0,""))</f>
        <v>24252.7397260274</v>
      </c>
      <c r="G29" s="43" t="n">
        <f aca="false">IF(19&lt;=Inputs!$C$11,IF(Inputs!$C$24="Serviced Monthly",F29,0),IF(19=Inputs!$C$11+1,Inputs!$D$17,IF(19=Inputs!$C$11+2,Inputs!$C$14,"")))</f>
        <v>24252.7397260274</v>
      </c>
      <c r="H29" s="43" t="n">
        <f aca="false">IF(19&lt;=Inputs!$C$11+1,Inputs!$C$14,IF(19=Inputs!$C$11+2,0,""))</f>
        <v>3700000</v>
      </c>
      <c r="I29" s="43" t="n">
        <f aca="false">IF(19&lt;=Inputs!$C$11+2,G29,"")</f>
        <v>24252.7397260274</v>
      </c>
      <c r="K29" s="41" t="str">
        <f aca="false">IF(Inputs!$C$37=0,"",IF(19&lt;=Inputs!$C$11,"Senior interest",IF(19=Inputs!$C$11+1,"Senior exit fee ("&amp;TEXT(Inputs!$C$36,"0.00%")&amp;")",IF(19=Inputs!$C$11+2,"Senior loan repaid",""))))</f>
        <v>Senior interest</v>
      </c>
      <c r="L29" s="43" t="n">
        <f aca="false">IF(19&lt;=Inputs!$C$11,M29,IF(19=Inputs!$C$11+1,Inputs!$D$36,IF(19=Inputs!$C$11+2,Inputs!$C$37,"")))</f>
        <v>13779.9657534247</v>
      </c>
      <c r="M29" s="43" t="n">
        <f aca="false">IF(19&lt;=Inputs!$C$11,Inputs!$C$37*Inputs!$C$35*D29/365,IF(19&lt;=Inputs!$C$11+2,0,""))</f>
        <v>13779.9657534247</v>
      </c>
      <c r="N29" s="43" t="n">
        <f aca="false">IF(19&lt;=Inputs!$C$11+2,0,"")</f>
        <v>0</v>
      </c>
      <c r="O29" s="43" t="n">
        <f aca="false">IF(19&lt;=Inputs!$C$11+1,Inputs!$C$37,IF(19=Inputs!$C$11+2,0,""))</f>
        <v>2775000</v>
      </c>
      <c r="P29" s="43" t="n">
        <f aca="false">IF(19&lt;=Inputs!$C$11+2,N29-L29,"")</f>
        <v>-13779.9657534247</v>
      </c>
      <c r="R29" s="41" t="str">
        <f aca="false">IF(19&lt;=Inputs!$C$11,"Net interest margin",IF(19=Inputs!$C$11+1,"Net exit fee",IF(19=Inputs!$C$11+2,"Redemption in / senior repaid","")))</f>
        <v>Net interest margin</v>
      </c>
      <c r="S29" s="43" t="n">
        <f aca="false">IF(19&lt;=Inputs!$C$11+2,L29,"")</f>
        <v>13779.9657534247</v>
      </c>
      <c r="T29" s="43" t="n">
        <f aca="false">IF(19&lt;=Inputs!$C$11,F29-M29,IF(19&lt;=Inputs!$C$11+2,0,""))</f>
        <v>10472.7739726027</v>
      </c>
      <c r="U29" s="43" t="n">
        <f aca="false">IF(19&lt;=Inputs!$C$11+2,G29,"")</f>
        <v>24252.7397260274</v>
      </c>
      <c r="V29" s="43" t="n">
        <f aca="false">IF(19&lt;=Inputs!$C$11+1,Inputs!$C$38,IF(19=Inputs!$C$11+2,0,""))</f>
        <v>925000</v>
      </c>
      <c r="W29" s="43" t="n">
        <f aca="false">IF(19&lt;=Inputs!$C$11+2,U29-S29,"")</f>
        <v>10472.7739726027</v>
      </c>
      <c r="X29" s="47" t="n">
        <f aca="false">IF(19&lt;=Inputs!$C$11,IF(OR(Inputs!$C$23="",Inputs!$C$22=""),0,MAX(0,EDATE(Inputs!$C$10,19)-MAX(EDATE(Inputs!$C$10,18),Inputs!$C$23))),"")</f>
        <v>0</v>
      </c>
      <c r="Z29" s="44" t="n">
        <f aca="false">EDATE(Inputs!$C$10,23)</f>
        <v>46935</v>
      </c>
      <c r="AA29" s="45" t="n">
        <f aca="false">IF(23&lt;=Inputs!$C$11,IF(Inputs!$C$24="Serviced Monthly",F33,0)+IF(23=Inputs!$C$11,Inputs!$C$14+Inputs!$D$17,0),0)</f>
        <v>25089.0410958904</v>
      </c>
      <c r="AB29" s="45" t="n">
        <f aca="false">AA29-IF(23&lt;=Inputs!$C$11,M33,0)-IF(23=Inputs!$C$11,Inputs!$C$37+Inputs!$D$36,0)</f>
        <v>10833.904109589</v>
      </c>
    </row>
    <row r="30" customFormat="false" ht="15" hidden="false" customHeight="false" outlineLevel="0" collapsed="false">
      <c r="A30" s="39" t="n">
        <f aca="false">IF(20&lt;=Inputs!$C$11,20,"")</f>
        <v>20</v>
      </c>
      <c r="B30" s="40" t="n">
        <f aca="false">IF(20&lt;=Inputs!$C$11,EDATE(Inputs!$C$10,20),IF(20&lt;=Inputs!$C$11+2,EDATE(Inputs!$C$10,Inputs!$C$11),""))</f>
        <v>46844</v>
      </c>
      <c r="C30" s="41" t="str">
        <f aca="false">IF(20&lt;=Inputs!$C$11,IF(AND(N(X30)&gt;0,N(X30)&lt;D30),"Interest (rate change)","Interest"),IF(20=Inputs!$C$11+1,"Exit fee ("&amp;TEXT(Inputs!$C$17,"0.00%")&amp;")",IF(20=Inputs!$C$11+2,"Redemption – principal repaid","")))</f>
        <v>Interest</v>
      </c>
      <c r="D30" s="46" t="n">
        <f aca="false">IF(20&lt;=Inputs!$C$11,EDATE(Inputs!$C$10,20)-EDATE(Inputs!$C$10,19),"")</f>
        <v>31</v>
      </c>
      <c r="E30" s="43" t="n">
        <f aca="false">IF(20&lt;=Inputs!$C$11+2,0,"")</f>
        <v>0</v>
      </c>
      <c r="F30" s="43" t="n">
        <f aca="false">IF(20&lt;=Inputs!$C$11,Inputs!$C$14*(Inputs!$C$21*(D30-X30)+IF(Inputs!$C$22="",Inputs!$C$21,Inputs!$C$22)*X30)/365,IF(20&lt;=Inputs!$C$11+2,0,""))</f>
        <v>25925.3424657534</v>
      </c>
      <c r="G30" s="43" t="n">
        <f aca="false">IF(20&lt;=Inputs!$C$11,IF(Inputs!$C$24="Serviced Monthly",F30,0),IF(20=Inputs!$C$11+1,Inputs!$D$17,IF(20=Inputs!$C$11+2,Inputs!$C$14,"")))</f>
        <v>25925.3424657534</v>
      </c>
      <c r="H30" s="43" t="n">
        <f aca="false">IF(20&lt;=Inputs!$C$11+1,Inputs!$C$14,IF(20=Inputs!$C$11+2,0,""))</f>
        <v>3700000</v>
      </c>
      <c r="I30" s="43" t="n">
        <f aca="false">IF(20&lt;=Inputs!$C$11+2,G30,"")</f>
        <v>25925.3424657534</v>
      </c>
      <c r="K30" s="41" t="str">
        <f aca="false">IF(Inputs!$C$37=0,"",IF(20&lt;=Inputs!$C$11,"Senior interest",IF(20=Inputs!$C$11+1,"Senior exit fee ("&amp;TEXT(Inputs!$C$36,"0.00%")&amp;")",IF(20=Inputs!$C$11+2,"Senior loan repaid",""))))</f>
        <v>Senior interest</v>
      </c>
      <c r="L30" s="43" t="n">
        <f aca="false">IF(20&lt;=Inputs!$C$11,M30,IF(20=Inputs!$C$11+1,Inputs!$D$36,IF(20=Inputs!$C$11+2,Inputs!$C$37,"")))</f>
        <v>14730.3082191781</v>
      </c>
      <c r="M30" s="43" t="n">
        <f aca="false">IF(20&lt;=Inputs!$C$11,Inputs!$C$37*Inputs!$C$35*D30/365,IF(20&lt;=Inputs!$C$11+2,0,""))</f>
        <v>14730.3082191781</v>
      </c>
      <c r="N30" s="43" t="n">
        <f aca="false">IF(20&lt;=Inputs!$C$11+2,0,"")</f>
        <v>0</v>
      </c>
      <c r="O30" s="43" t="n">
        <f aca="false">IF(20&lt;=Inputs!$C$11+1,Inputs!$C$37,IF(20=Inputs!$C$11+2,0,""))</f>
        <v>2775000</v>
      </c>
      <c r="P30" s="43" t="n">
        <f aca="false">IF(20&lt;=Inputs!$C$11+2,N30-L30,"")</f>
        <v>-14730.3082191781</v>
      </c>
      <c r="R30" s="41" t="str">
        <f aca="false">IF(20&lt;=Inputs!$C$11,"Net interest margin",IF(20=Inputs!$C$11+1,"Net exit fee",IF(20=Inputs!$C$11+2,"Redemption in / senior repaid","")))</f>
        <v>Net interest margin</v>
      </c>
      <c r="S30" s="43" t="n">
        <f aca="false">IF(20&lt;=Inputs!$C$11+2,L30,"")</f>
        <v>14730.3082191781</v>
      </c>
      <c r="T30" s="43" t="n">
        <f aca="false">IF(20&lt;=Inputs!$C$11,F30-M30,IF(20&lt;=Inputs!$C$11+2,0,""))</f>
        <v>11195.0342465753</v>
      </c>
      <c r="U30" s="43" t="n">
        <f aca="false">IF(20&lt;=Inputs!$C$11+2,G30,"")</f>
        <v>25925.3424657534</v>
      </c>
      <c r="V30" s="43" t="n">
        <f aca="false">IF(20&lt;=Inputs!$C$11+1,Inputs!$C$38,IF(20=Inputs!$C$11+2,0,""))</f>
        <v>925000</v>
      </c>
      <c r="W30" s="43" t="n">
        <f aca="false">IF(20&lt;=Inputs!$C$11+2,U30-S30,"")</f>
        <v>11195.0342465753</v>
      </c>
      <c r="X30" s="47" t="n">
        <f aca="false">IF(20&lt;=Inputs!$C$11,IF(OR(Inputs!$C$23="",Inputs!$C$22=""),0,MAX(0,EDATE(Inputs!$C$10,20)-MAX(EDATE(Inputs!$C$10,19),Inputs!$C$23))),"")</f>
        <v>0</v>
      </c>
      <c r="Z30" s="44" t="n">
        <f aca="false">EDATE(Inputs!$C$10,24)</f>
        <v>46966</v>
      </c>
      <c r="AA30" s="45" t="n">
        <f aca="false">IF(24&lt;=Inputs!$C$11,IF(Inputs!$C$24="Serviced Monthly",F34,0)+IF(24=Inputs!$C$11,Inputs!$C$14+Inputs!$D$17,0),0)</f>
        <v>3762925.34246575</v>
      </c>
      <c r="AB30" s="45" t="n">
        <f aca="false">AA30-IF(24&lt;=Inputs!$C$11,M34,0)-IF(24=Inputs!$C$11,Inputs!$C$37+Inputs!$D$36,0)</f>
        <v>973195.034246575</v>
      </c>
    </row>
    <row r="31" customFormat="false" ht="15" hidden="false" customHeight="false" outlineLevel="0" collapsed="false">
      <c r="A31" s="39" t="n">
        <f aca="false">IF(21&lt;=Inputs!$C$11,21,"")</f>
        <v>21</v>
      </c>
      <c r="B31" s="40" t="n">
        <f aca="false">IF(21&lt;=Inputs!$C$11,EDATE(Inputs!$C$10,21),IF(21&lt;=Inputs!$C$11+2,EDATE(Inputs!$C$10,Inputs!$C$11),""))</f>
        <v>46874</v>
      </c>
      <c r="C31" s="41" t="str">
        <f aca="false">IF(21&lt;=Inputs!$C$11,IF(AND(N(X31)&gt;0,N(X31)&lt;D31),"Interest (rate change)","Interest"),IF(21=Inputs!$C$11+1,"Exit fee ("&amp;TEXT(Inputs!$C$17,"0.00%")&amp;")",IF(21=Inputs!$C$11+2,"Redemption – principal repaid","")))</f>
        <v>Interest</v>
      </c>
      <c r="D31" s="46" t="n">
        <f aca="false">IF(21&lt;=Inputs!$C$11,EDATE(Inputs!$C$10,21)-EDATE(Inputs!$C$10,20),"")</f>
        <v>30</v>
      </c>
      <c r="E31" s="43" t="n">
        <f aca="false">IF(21&lt;=Inputs!$C$11+2,0,"")</f>
        <v>0</v>
      </c>
      <c r="F31" s="43" t="n">
        <f aca="false">IF(21&lt;=Inputs!$C$11,Inputs!$C$14*(Inputs!$C$21*(D31-X31)+IF(Inputs!$C$22="",Inputs!$C$21,Inputs!$C$22)*X31)/365,IF(21&lt;=Inputs!$C$11+2,0,""))</f>
        <v>25089.0410958904</v>
      </c>
      <c r="G31" s="43" t="n">
        <f aca="false">IF(21&lt;=Inputs!$C$11,IF(Inputs!$C$24="Serviced Monthly",F31,0),IF(21=Inputs!$C$11+1,Inputs!$D$17,IF(21=Inputs!$C$11+2,Inputs!$C$14,"")))</f>
        <v>25089.0410958904</v>
      </c>
      <c r="H31" s="43" t="n">
        <f aca="false">IF(21&lt;=Inputs!$C$11+1,Inputs!$C$14,IF(21=Inputs!$C$11+2,0,""))</f>
        <v>3700000</v>
      </c>
      <c r="I31" s="43" t="n">
        <f aca="false">IF(21&lt;=Inputs!$C$11+2,G31,"")</f>
        <v>25089.0410958904</v>
      </c>
      <c r="K31" s="41" t="str">
        <f aca="false">IF(Inputs!$C$37=0,"",IF(21&lt;=Inputs!$C$11,"Senior interest",IF(21=Inputs!$C$11+1,"Senior exit fee ("&amp;TEXT(Inputs!$C$36,"0.00%")&amp;")",IF(21=Inputs!$C$11+2,"Senior loan repaid",""))))</f>
        <v>Senior interest</v>
      </c>
      <c r="L31" s="43" t="n">
        <f aca="false">IF(21&lt;=Inputs!$C$11,M31,IF(21=Inputs!$C$11+1,Inputs!$D$36,IF(21=Inputs!$C$11+2,Inputs!$C$37,"")))</f>
        <v>14255.1369863014</v>
      </c>
      <c r="M31" s="43" t="n">
        <f aca="false">IF(21&lt;=Inputs!$C$11,Inputs!$C$37*Inputs!$C$35*D31/365,IF(21&lt;=Inputs!$C$11+2,0,""))</f>
        <v>14255.1369863014</v>
      </c>
      <c r="N31" s="43" t="n">
        <f aca="false">IF(21&lt;=Inputs!$C$11+2,0,"")</f>
        <v>0</v>
      </c>
      <c r="O31" s="43" t="n">
        <f aca="false">IF(21&lt;=Inputs!$C$11+1,Inputs!$C$37,IF(21=Inputs!$C$11+2,0,""))</f>
        <v>2775000</v>
      </c>
      <c r="P31" s="43" t="n">
        <f aca="false">IF(21&lt;=Inputs!$C$11+2,N31-L31,"")</f>
        <v>-14255.1369863014</v>
      </c>
      <c r="R31" s="41" t="str">
        <f aca="false">IF(21&lt;=Inputs!$C$11,"Net interest margin",IF(21=Inputs!$C$11+1,"Net exit fee",IF(21=Inputs!$C$11+2,"Redemption in / senior repaid","")))</f>
        <v>Net interest margin</v>
      </c>
      <c r="S31" s="43" t="n">
        <f aca="false">IF(21&lt;=Inputs!$C$11+2,L31,"")</f>
        <v>14255.1369863014</v>
      </c>
      <c r="T31" s="43" t="n">
        <f aca="false">IF(21&lt;=Inputs!$C$11,F31-M31,IF(21&lt;=Inputs!$C$11+2,0,""))</f>
        <v>10833.904109589</v>
      </c>
      <c r="U31" s="43" t="n">
        <f aca="false">IF(21&lt;=Inputs!$C$11+2,G31,"")</f>
        <v>25089.0410958904</v>
      </c>
      <c r="V31" s="43" t="n">
        <f aca="false">IF(21&lt;=Inputs!$C$11+1,Inputs!$C$38,IF(21=Inputs!$C$11+2,0,""))</f>
        <v>925000</v>
      </c>
      <c r="W31" s="43" t="n">
        <f aca="false">IF(21&lt;=Inputs!$C$11+2,U31-S31,"")</f>
        <v>10833.904109589</v>
      </c>
      <c r="X31" s="47" t="n">
        <f aca="false">IF(21&lt;=Inputs!$C$11,IF(OR(Inputs!$C$23="",Inputs!$C$22=""),0,MAX(0,EDATE(Inputs!$C$10,21)-MAX(EDATE(Inputs!$C$10,20),Inputs!$C$23))),"")</f>
        <v>0</v>
      </c>
      <c r="Z31" s="44" t="n">
        <f aca="false">EDATE(Inputs!$C$10,25)</f>
        <v>46997</v>
      </c>
      <c r="AA31" s="45" t="n">
        <f aca="false">IF(25&lt;=Inputs!$C$11,IF(Inputs!$C$24="Serviced Monthly",F35,0)+IF(25=Inputs!$C$11,Inputs!$C$14+Inputs!$D$17,0),0)</f>
        <v>0</v>
      </c>
      <c r="AB31" s="45" t="n">
        <f aca="false">AA31-IF(25&lt;=Inputs!$C$11,M35,0)-IF(25=Inputs!$C$11,Inputs!$C$37+Inputs!$D$36,0)</f>
        <v>0</v>
      </c>
    </row>
    <row r="32" customFormat="false" ht="15" hidden="false" customHeight="false" outlineLevel="0" collapsed="false">
      <c r="A32" s="39" t="n">
        <f aca="false">IF(22&lt;=Inputs!$C$11,22,"")</f>
        <v>22</v>
      </c>
      <c r="B32" s="40" t="n">
        <f aca="false">IF(22&lt;=Inputs!$C$11,EDATE(Inputs!$C$10,22),IF(22&lt;=Inputs!$C$11+2,EDATE(Inputs!$C$10,Inputs!$C$11),""))</f>
        <v>46905</v>
      </c>
      <c r="C32" s="41" t="str">
        <f aca="false">IF(22&lt;=Inputs!$C$11,IF(AND(N(X32)&gt;0,N(X32)&lt;D32),"Interest (rate change)","Interest"),IF(22=Inputs!$C$11+1,"Exit fee ("&amp;TEXT(Inputs!$C$17,"0.00%")&amp;")",IF(22=Inputs!$C$11+2,"Redemption – principal repaid","")))</f>
        <v>Interest</v>
      </c>
      <c r="D32" s="46" t="n">
        <f aca="false">IF(22&lt;=Inputs!$C$11,EDATE(Inputs!$C$10,22)-EDATE(Inputs!$C$10,21),"")</f>
        <v>31</v>
      </c>
      <c r="E32" s="43" t="n">
        <f aca="false">IF(22&lt;=Inputs!$C$11+2,0,"")</f>
        <v>0</v>
      </c>
      <c r="F32" s="43" t="n">
        <f aca="false">IF(22&lt;=Inputs!$C$11,Inputs!$C$14*(Inputs!$C$21*(D32-X32)+IF(Inputs!$C$22="",Inputs!$C$21,Inputs!$C$22)*X32)/365,IF(22&lt;=Inputs!$C$11+2,0,""))</f>
        <v>25925.3424657534</v>
      </c>
      <c r="G32" s="43" t="n">
        <f aca="false">IF(22&lt;=Inputs!$C$11,IF(Inputs!$C$24="Serviced Monthly",F32,0),IF(22=Inputs!$C$11+1,Inputs!$D$17,IF(22=Inputs!$C$11+2,Inputs!$C$14,"")))</f>
        <v>25925.3424657534</v>
      </c>
      <c r="H32" s="43" t="n">
        <f aca="false">IF(22&lt;=Inputs!$C$11+1,Inputs!$C$14,IF(22=Inputs!$C$11+2,0,""))</f>
        <v>3700000</v>
      </c>
      <c r="I32" s="43" t="n">
        <f aca="false">IF(22&lt;=Inputs!$C$11+2,G32,"")</f>
        <v>25925.3424657534</v>
      </c>
      <c r="K32" s="41" t="str">
        <f aca="false">IF(Inputs!$C$37=0,"",IF(22&lt;=Inputs!$C$11,"Senior interest",IF(22=Inputs!$C$11+1,"Senior exit fee ("&amp;TEXT(Inputs!$C$36,"0.00%")&amp;")",IF(22=Inputs!$C$11+2,"Senior loan repaid",""))))</f>
        <v>Senior interest</v>
      </c>
      <c r="L32" s="43" t="n">
        <f aca="false">IF(22&lt;=Inputs!$C$11,M32,IF(22=Inputs!$C$11+1,Inputs!$D$36,IF(22=Inputs!$C$11+2,Inputs!$C$37,"")))</f>
        <v>14730.3082191781</v>
      </c>
      <c r="M32" s="43" t="n">
        <f aca="false">IF(22&lt;=Inputs!$C$11,Inputs!$C$37*Inputs!$C$35*D32/365,IF(22&lt;=Inputs!$C$11+2,0,""))</f>
        <v>14730.3082191781</v>
      </c>
      <c r="N32" s="43" t="n">
        <f aca="false">IF(22&lt;=Inputs!$C$11+2,0,"")</f>
        <v>0</v>
      </c>
      <c r="O32" s="43" t="n">
        <f aca="false">IF(22&lt;=Inputs!$C$11+1,Inputs!$C$37,IF(22=Inputs!$C$11+2,0,""))</f>
        <v>2775000</v>
      </c>
      <c r="P32" s="43" t="n">
        <f aca="false">IF(22&lt;=Inputs!$C$11+2,N32-L32,"")</f>
        <v>-14730.3082191781</v>
      </c>
      <c r="R32" s="41" t="str">
        <f aca="false">IF(22&lt;=Inputs!$C$11,"Net interest margin",IF(22=Inputs!$C$11+1,"Net exit fee",IF(22=Inputs!$C$11+2,"Redemption in / senior repaid","")))</f>
        <v>Net interest margin</v>
      </c>
      <c r="S32" s="43" t="n">
        <f aca="false">IF(22&lt;=Inputs!$C$11+2,L32,"")</f>
        <v>14730.3082191781</v>
      </c>
      <c r="T32" s="43" t="n">
        <f aca="false">IF(22&lt;=Inputs!$C$11,F32-M32,IF(22&lt;=Inputs!$C$11+2,0,""))</f>
        <v>11195.0342465753</v>
      </c>
      <c r="U32" s="43" t="n">
        <f aca="false">IF(22&lt;=Inputs!$C$11+2,G32,"")</f>
        <v>25925.3424657534</v>
      </c>
      <c r="V32" s="43" t="n">
        <f aca="false">IF(22&lt;=Inputs!$C$11+1,Inputs!$C$38,IF(22=Inputs!$C$11+2,0,""))</f>
        <v>925000</v>
      </c>
      <c r="W32" s="43" t="n">
        <f aca="false">IF(22&lt;=Inputs!$C$11+2,U32-S32,"")</f>
        <v>11195.0342465753</v>
      </c>
      <c r="X32" s="47" t="n">
        <f aca="false">IF(22&lt;=Inputs!$C$11,IF(OR(Inputs!$C$23="",Inputs!$C$22=""),0,MAX(0,EDATE(Inputs!$C$10,22)-MAX(EDATE(Inputs!$C$10,21),Inputs!$C$23))),"")</f>
        <v>0</v>
      </c>
      <c r="Z32" s="44" t="n">
        <f aca="false">EDATE(Inputs!$C$10,26)</f>
        <v>47027</v>
      </c>
      <c r="AA32" s="45" t="n">
        <f aca="false">IF(26&lt;=Inputs!$C$11,IF(Inputs!$C$24="Serviced Monthly",F36,0)+IF(26=Inputs!$C$11,Inputs!$C$14+Inputs!$D$17,0),0)</f>
        <v>0</v>
      </c>
      <c r="AB32" s="45" t="n">
        <f aca="false">AA32-IF(26&lt;=Inputs!$C$11,M36,0)-IF(26=Inputs!$C$11,Inputs!$C$37+Inputs!$D$36,0)</f>
        <v>0</v>
      </c>
    </row>
    <row r="33" customFormat="false" ht="15" hidden="false" customHeight="false" outlineLevel="0" collapsed="false">
      <c r="A33" s="39" t="n">
        <f aca="false">IF(23&lt;=Inputs!$C$11,23,"")</f>
        <v>23</v>
      </c>
      <c r="B33" s="40" t="n">
        <f aca="false">IF(23&lt;=Inputs!$C$11,EDATE(Inputs!$C$10,23),IF(23&lt;=Inputs!$C$11+2,EDATE(Inputs!$C$10,Inputs!$C$11),""))</f>
        <v>46935</v>
      </c>
      <c r="C33" s="41" t="str">
        <f aca="false">IF(23&lt;=Inputs!$C$11,IF(AND(N(X33)&gt;0,N(X33)&lt;D33),"Interest (rate change)","Interest"),IF(23=Inputs!$C$11+1,"Exit fee ("&amp;TEXT(Inputs!$C$17,"0.00%")&amp;")",IF(23=Inputs!$C$11+2,"Redemption – principal repaid","")))</f>
        <v>Interest</v>
      </c>
      <c r="D33" s="46" t="n">
        <f aca="false">IF(23&lt;=Inputs!$C$11,EDATE(Inputs!$C$10,23)-EDATE(Inputs!$C$10,22),"")</f>
        <v>30</v>
      </c>
      <c r="E33" s="43" t="n">
        <f aca="false">IF(23&lt;=Inputs!$C$11+2,0,"")</f>
        <v>0</v>
      </c>
      <c r="F33" s="43" t="n">
        <f aca="false">IF(23&lt;=Inputs!$C$11,Inputs!$C$14*(Inputs!$C$21*(D33-X33)+IF(Inputs!$C$22="",Inputs!$C$21,Inputs!$C$22)*X33)/365,IF(23&lt;=Inputs!$C$11+2,0,""))</f>
        <v>25089.0410958904</v>
      </c>
      <c r="G33" s="43" t="n">
        <f aca="false">IF(23&lt;=Inputs!$C$11,IF(Inputs!$C$24="Serviced Monthly",F33,0),IF(23=Inputs!$C$11+1,Inputs!$D$17,IF(23=Inputs!$C$11+2,Inputs!$C$14,"")))</f>
        <v>25089.0410958904</v>
      </c>
      <c r="H33" s="43" t="n">
        <f aca="false">IF(23&lt;=Inputs!$C$11+1,Inputs!$C$14,IF(23=Inputs!$C$11+2,0,""))</f>
        <v>3700000</v>
      </c>
      <c r="I33" s="43" t="n">
        <f aca="false">IF(23&lt;=Inputs!$C$11+2,G33,"")</f>
        <v>25089.0410958904</v>
      </c>
      <c r="K33" s="41" t="str">
        <f aca="false">IF(Inputs!$C$37=0,"",IF(23&lt;=Inputs!$C$11,"Senior interest",IF(23=Inputs!$C$11+1,"Senior exit fee ("&amp;TEXT(Inputs!$C$36,"0.00%")&amp;")",IF(23=Inputs!$C$11+2,"Senior loan repaid",""))))</f>
        <v>Senior interest</v>
      </c>
      <c r="L33" s="43" t="n">
        <f aca="false">IF(23&lt;=Inputs!$C$11,M33,IF(23=Inputs!$C$11+1,Inputs!$D$36,IF(23=Inputs!$C$11+2,Inputs!$C$37,"")))</f>
        <v>14255.1369863014</v>
      </c>
      <c r="M33" s="43" t="n">
        <f aca="false">IF(23&lt;=Inputs!$C$11,Inputs!$C$37*Inputs!$C$35*D33/365,IF(23&lt;=Inputs!$C$11+2,0,""))</f>
        <v>14255.1369863014</v>
      </c>
      <c r="N33" s="43" t="n">
        <f aca="false">IF(23&lt;=Inputs!$C$11+2,0,"")</f>
        <v>0</v>
      </c>
      <c r="O33" s="43" t="n">
        <f aca="false">IF(23&lt;=Inputs!$C$11+1,Inputs!$C$37,IF(23=Inputs!$C$11+2,0,""))</f>
        <v>2775000</v>
      </c>
      <c r="P33" s="43" t="n">
        <f aca="false">IF(23&lt;=Inputs!$C$11+2,N33-L33,"")</f>
        <v>-14255.1369863014</v>
      </c>
      <c r="R33" s="41" t="str">
        <f aca="false">IF(23&lt;=Inputs!$C$11,"Net interest margin",IF(23=Inputs!$C$11+1,"Net exit fee",IF(23=Inputs!$C$11+2,"Redemption in / senior repaid","")))</f>
        <v>Net interest margin</v>
      </c>
      <c r="S33" s="43" t="n">
        <f aca="false">IF(23&lt;=Inputs!$C$11+2,L33,"")</f>
        <v>14255.1369863014</v>
      </c>
      <c r="T33" s="43" t="n">
        <f aca="false">IF(23&lt;=Inputs!$C$11,F33-M33,IF(23&lt;=Inputs!$C$11+2,0,""))</f>
        <v>10833.904109589</v>
      </c>
      <c r="U33" s="43" t="n">
        <f aca="false">IF(23&lt;=Inputs!$C$11+2,G33,"")</f>
        <v>25089.0410958904</v>
      </c>
      <c r="V33" s="43" t="n">
        <f aca="false">IF(23&lt;=Inputs!$C$11+1,Inputs!$C$38,IF(23=Inputs!$C$11+2,0,""))</f>
        <v>925000</v>
      </c>
      <c r="W33" s="43" t="n">
        <f aca="false">IF(23&lt;=Inputs!$C$11+2,U33-S33,"")</f>
        <v>10833.904109589</v>
      </c>
      <c r="X33" s="47" t="n">
        <f aca="false">IF(23&lt;=Inputs!$C$11,IF(OR(Inputs!$C$23="",Inputs!$C$22=""),0,MAX(0,EDATE(Inputs!$C$10,23)-MAX(EDATE(Inputs!$C$10,22),Inputs!$C$23))),"")</f>
        <v>0</v>
      </c>
      <c r="Z33" s="44" t="n">
        <f aca="false">EDATE(Inputs!$C$10,27)</f>
        <v>47058</v>
      </c>
      <c r="AA33" s="45" t="n">
        <f aca="false">IF(27&lt;=Inputs!$C$11,IF(Inputs!$C$24="Serviced Monthly",F37,0)+IF(27=Inputs!$C$11,Inputs!$C$14+Inputs!$D$17,0),0)</f>
        <v>0</v>
      </c>
      <c r="AB33" s="45" t="n">
        <f aca="false">AA33-IF(27&lt;=Inputs!$C$11,M37,0)-IF(27=Inputs!$C$11,Inputs!$C$37+Inputs!$D$36,0)</f>
        <v>0</v>
      </c>
    </row>
    <row r="34" customFormat="false" ht="15" hidden="false" customHeight="false" outlineLevel="0" collapsed="false">
      <c r="A34" s="39" t="n">
        <f aca="false">IF(24&lt;=Inputs!$C$11,24,"")</f>
        <v>24</v>
      </c>
      <c r="B34" s="40" t="n">
        <f aca="false">IF(24&lt;=Inputs!$C$11,EDATE(Inputs!$C$10,24),IF(24&lt;=Inputs!$C$11+2,EDATE(Inputs!$C$10,Inputs!$C$11),""))</f>
        <v>46966</v>
      </c>
      <c r="C34" s="41" t="str">
        <f aca="false">IF(24&lt;=Inputs!$C$11,IF(AND(N(X34)&gt;0,N(X34)&lt;D34),"Interest (rate change)","Interest"),IF(24=Inputs!$C$11+1,"Exit fee ("&amp;TEXT(Inputs!$C$17,"0.00%")&amp;")",IF(24=Inputs!$C$11+2,"Redemption – principal repaid","")))</f>
        <v>Interest</v>
      </c>
      <c r="D34" s="46" t="n">
        <f aca="false">IF(24&lt;=Inputs!$C$11,EDATE(Inputs!$C$10,24)-EDATE(Inputs!$C$10,23),"")</f>
        <v>31</v>
      </c>
      <c r="E34" s="43" t="n">
        <f aca="false">IF(24&lt;=Inputs!$C$11+2,0,"")</f>
        <v>0</v>
      </c>
      <c r="F34" s="43" t="n">
        <f aca="false">IF(24&lt;=Inputs!$C$11,Inputs!$C$14*(Inputs!$C$21*(D34-X34)+IF(Inputs!$C$22="",Inputs!$C$21,Inputs!$C$22)*X34)/365,IF(24&lt;=Inputs!$C$11+2,0,""))</f>
        <v>25925.3424657534</v>
      </c>
      <c r="G34" s="43" t="n">
        <f aca="false">IF(24&lt;=Inputs!$C$11,IF(Inputs!$C$24="Serviced Monthly",F34,0),IF(24=Inputs!$C$11+1,Inputs!$D$17,IF(24=Inputs!$C$11+2,Inputs!$C$14,"")))</f>
        <v>25925.3424657534</v>
      </c>
      <c r="H34" s="43" t="n">
        <f aca="false">IF(24&lt;=Inputs!$C$11+1,Inputs!$C$14,IF(24=Inputs!$C$11+2,0,""))</f>
        <v>3700000</v>
      </c>
      <c r="I34" s="43" t="n">
        <f aca="false">IF(24&lt;=Inputs!$C$11+2,G34,"")</f>
        <v>25925.3424657534</v>
      </c>
      <c r="K34" s="41" t="str">
        <f aca="false">IF(Inputs!$C$37=0,"",IF(24&lt;=Inputs!$C$11,"Senior interest",IF(24=Inputs!$C$11+1,"Senior exit fee ("&amp;TEXT(Inputs!$C$36,"0.00%")&amp;")",IF(24=Inputs!$C$11+2,"Senior loan repaid",""))))</f>
        <v>Senior interest</v>
      </c>
      <c r="L34" s="43" t="n">
        <f aca="false">IF(24&lt;=Inputs!$C$11,M34,IF(24=Inputs!$C$11+1,Inputs!$D$36,IF(24=Inputs!$C$11+2,Inputs!$C$37,"")))</f>
        <v>14730.3082191781</v>
      </c>
      <c r="M34" s="43" t="n">
        <f aca="false">IF(24&lt;=Inputs!$C$11,Inputs!$C$37*Inputs!$C$35*D34/365,IF(24&lt;=Inputs!$C$11+2,0,""))</f>
        <v>14730.3082191781</v>
      </c>
      <c r="N34" s="43" t="n">
        <f aca="false">IF(24&lt;=Inputs!$C$11+2,0,"")</f>
        <v>0</v>
      </c>
      <c r="O34" s="43" t="n">
        <f aca="false">IF(24&lt;=Inputs!$C$11+1,Inputs!$C$37,IF(24=Inputs!$C$11+2,0,""))</f>
        <v>2775000</v>
      </c>
      <c r="P34" s="43" t="n">
        <f aca="false">IF(24&lt;=Inputs!$C$11+2,N34-L34,"")</f>
        <v>-14730.3082191781</v>
      </c>
      <c r="R34" s="41" t="str">
        <f aca="false">IF(24&lt;=Inputs!$C$11,"Net interest margin",IF(24=Inputs!$C$11+1,"Net exit fee",IF(24=Inputs!$C$11+2,"Redemption in / senior repaid","")))</f>
        <v>Net interest margin</v>
      </c>
      <c r="S34" s="43" t="n">
        <f aca="false">IF(24&lt;=Inputs!$C$11+2,L34,"")</f>
        <v>14730.3082191781</v>
      </c>
      <c r="T34" s="43" t="n">
        <f aca="false">IF(24&lt;=Inputs!$C$11,F34-M34,IF(24&lt;=Inputs!$C$11+2,0,""))</f>
        <v>11195.0342465753</v>
      </c>
      <c r="U34" s="43" t="n">
        <f aca="false">IF(24&lt;=Inputs!$C$11+2,G34,"")</f>
        <v>25925.3424657534</v>
      </c>
      <c r="V34" s="43" t="n">
        <f aca="false">IF(24&lt;=Inputs!$C$11+1,Inputs!$C$38,IF(24=Inputs!$C$11+2,0,""))</f>
        <v>925000</v>
      </c>
      <c r="W34" s="43" t="n">
        <f aca="false">IF(24&lt;=Inputs!$C$11+2,U34-S34,"")</f>
        <v>11195.0342465753</v>
      </c>
      <c r="X34" s="47" t="n">
        <f aca="false">IF(24&lt;=Inputs!$C$11,IF(OR(Inputs!$C$23="",Inputs!$C$22=""),0,MAX(0,EDATE(Inputs!$C$10,24)-MAX(EDATE(Inputs!$C$10,23),Inputs!$C$23))),"")</f>
        <v>0</v>
      </c>
      <c r="Z34" s="44" t="n">
        <f aca="false">EDATE(Inputs!$C$10,28)</f>
        <v>47088</v>
      </c>
      <c r="AA34" s="45" t="n">
        <f aca="false">IF(28&lt;=Inputs!$C$11,IF(Inputs!$C$24="Serviced Monthly",F38,0)+IF(28=Inputs!$C$11,Inputs!$C$14+Inputs!$D$17,0),0)</f>
        <v>0</v>
      </c>
      <c r="AB34" s="45" t="n">
        <f aca="false">AA34-IF(28&lt;=Inputs!$C$11,M38,0)-IF(28=Inputs!$C$11,Inputs!$C$37+Inputs!$D$36,0)</f>
        <v>0</v>
      </c>
    </row>
    <row r="35" customFormat="false" ht="15" hidden="false" customHeight="false" outlineLevel="0" collapsed="false">
      <c r="A35" s="39" t="str">
        <f aca="false">IF(25&lt;=Inputs!$C$11,25,"")</f>
        <v/>
      </c>
      <c r="B35" s="40" t="n">
        <f aca="false">IF(25&lt;=Inputs!$C$11,EDATE(Inputs!$C$10,25),IF(25&lt;=Inputs!$C$11+2,EDATE(Inputs!$C$10,Inputs!$C$11),""))</f>
        <v>46966</v>
      </c>
      <c r="C35" s="41" t="str">
        <f aca="false">IF(25&lt;=Inputs!$C$11,IF(AND(N(X35)&gt;0,N(X35)&lt;D35),"Interest (rate change)","Interest"),IF(25=Inputs!$C$11+1,"Exit fee ("&amp;TEXT(Inputs!$C$17,"0.00%")&amp;")",IF(25=Inputs!$C$11+2,"Redemption – principal repaid","")))</f>
        <v>Exit fee (1.00%)</v>
      </c>
      <c r="D35" s="46" t="str">
        <f aca="false">IF(25&lt;=Inputs!$C$11,EDATE(Inputs!$C$10,25)-EDATE(Inputs!$C$10,24),"")</f>
        <v/>
      </c>
      <c r="E35" s="43" t="n">
        <f aca="false">IF(25&lt;=Inputs!$C$11+2,0,"")</f>
        <v>0</v>
      </c>
      <c r="F35" s="43" t="n">
        <f aca="false">IF(25&lt;=Inputs!$C$11,Inputs!$C$14*(Inputs!$C$21*(D35-X35)+IF(Inputs!$C$22="",Inputs!$C$21,Inputs!$C$22)*X35)/365,IF(25&lt;=Inputs!$C$11+2,0,""))</f>
        <v>0</v>
      </c>
      <c r="G35" s="43" t="n">
        <f aca="false">IF(25&lt;=Inputs!$C$11,IF(Inputs!$C$24="Serviced Monthly",F35,0),IF(25=Inputs!$C$11+1,Inputs!$D$17,IF(25=Inputs!$C$11+2,Inputs!$C$14,"")))</f>
        <v>37000</v>
      </c>
      <c r="H35" s="43" t="n">
        <f aca="false">IF(25&lt;=Inputs!$C$11+1,Inputs!$C$14,IF(25=Inputs!$C$11+2,0,""))</f>
        <v>3700000</v>
      </c>
      <c r="I35" s="43" t="n">
        <f aca="false">IF(25&lt;=Inputs!$C$11+2,G35,"")</f>
        <v>37000</v>
      </c>
      <c r="K35" s="41" t="str">
        <f aca="false">IF(Inputs!$C$37=0,"",IF(25&lt;=Inputs!$C$11,"Senior interest",IF(25=Inputs!$C$11+1,"Senior exit fee ("&amp;TEXT(Inputs!$C$36,"0.00%")&amp;")",IF(25=Inputs!$C$11+2,"Senior loan repaid",""))))</f>
        <v>Senior exit fee (0.00%)</v>
      </c>
      <c r="L35" s="43" t="n">
        <f aca="false">IF(25&lt;=Inputs!$C$11,M35,IF(25=Inputs!$C$11+1,Inputs!$D$36,IF(25=Inputs!$C$11+2,Inputs!$C$37,"")))</f>
        <v>0</v>
      </c>
      <c r="M35" s="43" t="n">
        <f aca="false">IF(25&lt;=Inputs!$C$11,Inputs!$C$37*Inputs!$C$35*D35/365,IF(25&lt;=Inputs!$C$11+2,0,""))</f>
        <v>0</v>
      </c>
      <c r="N35" s="43" t="n">
        <f aca="false">IF(25&lt;=Inputs!$C$11+2,0,"")</f>
        <v>0</v>
      </c>
      <c r="O35" s="43" t="n">
        <f aca="false">IF(25&lt;=Inputs!$C$11+1,Inputs!$C$37,IF(25=Inputs!$C$11+2,0,""))</f>
        <v>2775000</v>
      </c>
      <c r="P35" s="43" t="n">
        <f aca="false">IF(25&lt;=Inputs!$C$11+2,N35-L35,"")</f>
        <v>0</v>
      </c>
      <c r="R35" s="41" t="str">
        <f aca="false">IF(25&lt;=Inputs!$C$11,"Net interest margin",IF(25=Inputs!$C$11+1,"Net exit fee",IF(25=Inputs!$C$11+2,"Redemption in / senior repaid","")))</f>
        <v>Net exit fee</v>
      </c>
      <c r="S35" s="43" t="n">
        <f aca="false">IF(25&lt;=Inputs!$C$11+2,L35,"")</f>
        <v>0</v>
      </c>
      <c r="T35" s="43" t="n">
        <f aca="false">IF(25&lt;=Inputs!$C$11,F35-M35,IF(25&lt;=Inputs!$C$11+2,0,""))</f>
        <v>0</v>
      </c>
      <c r="U35" s="43" t="n">
        <f aca="false">IF(25&lt;=Inputs!$C$11+2,G35,"")</f>
        <v>37000</v>
      </c>
      <c r="V35" s="43" t="n">
        <f aca="false">IF(25&lt;=Inputs!$C$11+1,Inputs!$C$38,IF(25=Inputs!$C$11+2,0,""))</f>
        <v>925000</v>
      </c>
      <c r="W35" s="43" t="n">
        <f aca="false">IF(25&lt;=Inputs!$C$11+2,U35-S35,"")</f>
        <v>37000</v>
      </c>
      <c r="X35" s="47" t="str">
        <f aca="false">IF(25&lt;=Inputs!$C$11,IF(OR(Inputs!$C$23="",Inputs!$C$22=""),0,MAX(0,EDATE(Inputs!$C$10,25)-MAX(EDATE(Inputs!$C$10,24),Inputs!$C$23))),"")</f>
        <v/>
      </c>
      <c r="Z35" s="44" t="n">
        <f aca="false">EDATE(Inputs!$C$10,29)</f>
        <v>47119</v>
      </c>
      <c r="AA35" s="45" t="n">
        <f aca="false">IF(29&lt;=Inputs!$C$11,IF(Inputs!$C$24="Serviced Monthly",F39,0)+IF(29=Inputs!$C$11,Inputs!$C$14+Inputs!$D$17,0),0)</f>
        <v>0</v>
      </c>
      <c r="AB35" s="45" t="n">
        <f aca="false">AA35-IF(29&lt;=Inputs!$C$11,M39,0)-IF(29=Inputs!$C$11,Inputs!$C$37+Inputs!$D$36,0)</f>
        <v>0</v>
      </c>
    </row>
    <row r="36" customFormat="false" ht="15" hidden="false" customHeight="false" outlineLevel="0" collapsed="false">
      <c r="A36" s="39" t="str">
        <f aca="false">IF(26&lt;=Inputs!$C$11,26,"")</f>
        <v/>
      </c>
      <c r="B36" s="40" t="n">
        <f aca="false">IF(26&lt;=Inputs!$C$11,EDATE(Inputs!$C$10,26),IF(26&lt;=Inputs!$C$11+2,EDATE(Inputs!$C$10,Inputs!$C$11),""))</f>
        <v>46966</v>
      </c>
      <c r="C36" s="41" t="str">
        <f aca="false">IF(26&lt;=Inputs!$C$11,IF(AND(N(X36)&gt;0,N(X36)&lt;D36),"Interest (rate change)","Interest"),IF(26=Inputs!$C$11+1,"Exit fee ("&amp;TEXT(Inputs!$C$17,"0.00%")&amp;")",IF(26=Inputs!$C$11+2,"Redemption – principal repaid","")))</f>
        <v>Redemption – principal repaid</v>
      </c>
      <c r="D36" s="46" t="str">
        <f aca="false">IF(26&lt;=Inputs!$C$11,EDATE(Inputs!$C$10,26)-EDATE(Inputs!$C$10,25),"")</f>
        <v/>
      </c>
      <c r="E36" s="43" t="n">
        <f aca="false">IF(26&lt;=Inputs!$C$11+2,0,"")</f>
        <v>0</v>
      </c>
      <c r="F36" s="43" t="n">
        <f aca="false">IF(26&lt;=Inputs!$C$11,Inputs!$C$14*(Inputs!$C$21*(D36-X36)+IF(Inputs!$C$22="",Inputs!$C$21,Inputs!$C$22)*X36)/365,IF(26&lt;=Inputs!$C$11+2,0,""))</f>
        <v>0</v>
      </c>
      <c r="G36" s="43" t="n">
        <f aca="false">IF(26&lt;=Inputs!$C$11,IF(Inputs!$C$24="Serviced Monthly",F36,0),IF(26=Inputs!$C$11+1,Inputs!$D$17,IF(26=Inputs!$C$11+2,Inputs!$C$14,"")))</f>
        <v>3700000</v>
      </c>
      <c r="H36" s="43" t="n">
        <f aca="false">IF(26&lt;=Inputs!$C$11+1,Inputs!$C$14,IF(26=Inputs!$C$11+2,0,""))</f>
        <v>0</v>
      </c>
      <c r="I36" s="43" t="n">
        <f aca="false">IF(26&lt;=Inputs!$C$11+2,G36,"")</f>
        <v>3700000</v>
      </c>
      <c r="K36" s="41" t="str">
        <f aca="false">IF(Inputs!$C$37=0,"",IF(26&lt;=Inputs!$C$11,"Senior interest",IF(26=Inputs!$C$11+1,"Senior exit fee ("&amp;TEXT(Inputs!$C$36,"0.00%")&amp;")",IF(26=Inputs!$C$11+2,"Senior loan repaid",""))))</f>
        <v>Senior loan repaid</v>
      </c>
      <c r="L36" s="43" t="n">
        <f aca="false">IF(26&lt;=Inputs!$C$11,M36,IF(26=Inputs!$C$11+1,Inputs!$D$36,IF(26=Inputs!$C$11+2,Inputs!$C$37,"")))</f>
        <v>2775000</v>
      </c>
      <c r="M36" s="43" t="n">
        <f aca="false">IF(26&lt;=Inputs!$C$11,Inputs!$C$37*Inputs!$C$35*D36/365,IF(26&lt;=Inputs!$C$11+2,0,""))</f>
        <v>0</v>
      </c>
      <c r="N36" s="43" t="n">
        <f aca="false">IF(26&lt;=Inputs!$C$11+2,0,"")</f>
        <v>0</v>
      </c>
      <c r="O36" s="43" t="n">
        <f aca="false">IF(26&lt;=Inputs!$C$11+1,Inputs!$C$37,IF(26=Inputs!$C$11+2,0,""))</f>
        <v>0</v>
      </c>
      <c r="P36" s="43" t="n">
        <f aca="false">IF(26&lt;=Inputs!$C$11+2,N36-L36,"")</f>
        <v>-2775000</v>
      </c>
      <c r="R36" s="41" t="str">
        <f aca="false">IF(26&lt;=Inputs!$C$11,"Net interest margin",IF(26=Inputs!$C$11+1,"Net exit fee",IF(26=Inputs!$C$11+2,"Redemption in / senior repaid","")))</f>
        <v>Redemption in / senior repaid</v>
      </c>
      <c r="S36" s="43" t="n">
        <f aca="false">IF(26&lt;=Inputs!$C$11+2,L36,"")</f>
        <v>2775000</v>
      </c>
      <c r="T36" s="43" t="n">
        <f aca="false">IF(26&lt;=Inputs!$C$11,F36-M36,IF(26&lt;=Inputs!$C$11+2,0,""))</f>
        <v>0</v>
      </c>
      <c r="U36" s="43" t="n">
        <f aca="false">IF(26&lt;=Inputs!$C$11+2,G36,"")</f>
        <v>3700000</v>
      </c>
      <c r="V36" s="43" t="n">
        <f aca="false">IF(26&lt;=Inputs!$C$11+1,Inputs!$C$38,IF(26=Inputs!$C$11+2,0,""))</f>
        <v>0</v>
      </c>
      <c r="W36" s="43" t="n">
        <f aca="false">IF(26&lt;=Inputs!$C$11+2,U36-S36,"")</f>
        <v>925000</v>
      </c>
      <c r="X36" s="47" t="str">
        <f aca="false">IF(26&lt;=Inputs!$C$11,IF(OR(Inputs!$C$23="",Inputs!$C$22=""),0,MAX(0,EDATE(Inputs!$C$10,26)-MAX(EDATE(Inputs!$C$10,25),Inputs!$C$23))),"")</f>
        <v/>
      </c>
      <c r="Z36" s="44" t="n">
        <f aca="false">EDATE(Inputs!$C$10,30)</f>
        <v>47150</v>
      </c>
      <c r="AA36" s="45" t="n">
        <f aca="false">IF(30&lt;=Inputs!$C$11,IF(Inputs!$C$24="Serviced Monthly",F40,0)+IF(30=Inputs!$C$11,Inputs!$C$14+Inputs!$D$17,0),0)</f>
        <v>0</v>
      </c>
      <c r="AB36" s="45" t="n">
        <f aca="false">AA36-IF(30&lt;=Inputs!$C$11,M40,0)-IF(30=Inputs!$C$11,Inputs!$C$37+Inputs!$D$36,0)</f>
        <v>0</v>
      </c>
    </row>
    <row r="37" customFormat="false" ht="15" hidden="false" customHeight="false" outlineLevel="0" collapsed="false">
      <c r="A37" s="39" t="str">
        <f aca="false">IF(27&lt;=Inputs!$C$11,27,"")</f>
        <v/>
      </c>
      <c r="B37" s="40" t="str">
        <f aca="false">IF(27&lt;=Inputs!$C$11,EDATE(Inputs!$C$10,27),IF(27&lt;=Inputs!$C$11+2,EDATE(Inputs!$C$10,Inputs!$C$11),""))</f>
        <v/>
      </c>
      <c r="C37" s="41" t="str">
        <f aca="false">IF(27&lt;=Inputs!$C$11,IF(AND(N(X37)&gt;0,N(X37)&lt;D37),"Interest (rate change)","Interest"),IF(27=Inputs!$C$11+1,"Exit fee ("&amp;TEXT(Inputs!$C$17,"0.00%")&amp;")",IF(27=Inputs!$C$11+2,"Redemption – principal repaid","")))</f>
        <v/>
      </c>
      <c r="D37" s="46" t="str">
        <f aca="false">IF(27&lt;=Inputs!$C$11,EDATE(Inputs!$C$10,27)-EDATE(Inputs!$C$10,26),"")</f>
        <v/>
      </c>
      <c r="E37" s="43" t="str">
        <f aca="false">IF(27&lt;=Inputs!$C$11+2,0,"")</f>
        <v/>
      </c>
      <c r="F37" s="43" t="str">
        <f aca="false">IF(27&lt;=Inputs!$C$11,Inputs!$C$14*(Inputs!$C$21*(D37-X37)+IF(Inputs!$C$22="",Inputs!$C$21,Inputs!$C$22)*X37)/365,IF(27&lt;=Inputs!$C$11+2,0,""))</f>
        <v/>
      </c>
      <c r="G37" s="43" t="str">
        <f aca="false">IF(27&lt;=Inputs!$C$11,IF(Inputs!$C$24="Serviced Monthly",F37,0),IF(27=Inputs!$C$11+1,Inputs!$D$17,IF(27=Inputs!$C$11+2,Inputs!$C$14,"")))</f>
        <v/>
      </c>
      <c r="H37" s="43" t="str">
        <f aca="false">IF(27&lt;=Inputs!$C$11+1,Inputs!$C$14,IF(27=Inputs!$C$11+2,0,""))</f>
        <v/>
      </c>
      <c r="I37" s="43" t="str">
        <f aca="false">IF(27&lt;=Inputs!$C$11+2,G37,"")</f>
        <v/>
      </c>
      <c r="K37" s="41" t="str">
        <f aca="false">IF(Inputs!$C$37=0,"",IF(27&lt;=Inputs!$C$11,"Senior interest",IF(27=Inputs!$C$11+1,"Senior exit fee ("&amp;TEXT(Inputs!$C$36,"0.00%")&amp;")",IF(27=Inputs!$C$11+2,"Senior loan repaid",""))))</f>
        <v/>
      </c>
      <c r="L37" s="43" t="str">
        <f aca="false">IF(27&lt;=Inputs!$C$11,M37,IF(27=Inputs!$C$11+1,Inputs!$D$36,IF(27=Inputs!$C$11+2,Inputs!$C$37,"")))</f>
        <v/>
      </c>
      <c r="M37" s="43" t="str">
        <f aca="false">IF(27&lt;=Inputs!$C$11,Inputs!$C$37*Inputs!$C$35*D37/365,IF(27&lt;=Inputs!$C$11+2,0,""))</f>
        <v/>
      </c>
      <c r="N37" s="43" t="str">
        <f aca="false">IF(27&lt;=Inputs!$C$11+2,0,"")</f>
        <v/>
      </c>
      <c r="O37" s="43" t="str">
        <f aca="false">IF(27&lt;=Inputs!$C$11+1,Inputs!$C$37,IF(27=Inputs!$C$11+2,0,""))</f>
        <v/>
      </c>
      <c r="P37" s="43" t="str">
        <f aca="false">IF(27&lt;=Inputs!$C$11+2,N37-L37,"")</f>
        <v/>
      </c>
      <c r="R37" s="41" t="str">
        <f aca="false">IF(27&lt;=Inputs!$C$11,"Net interest margin",IF(27=Inputs!$C$11+1,"Net exit fee",IF(27=Inputs!$C$11+2,"Redemption in / senior repaid","")))</f>
        <v/>
      </c>
      <c r="S37" s="43" t="str">
        <f aca="false">IF(27&lt;=Inputs!$C$11+2,L37,"")</f>
        <v/>
      </c>
      <c r="T37" s="43" t="str">
        <f aca="false">IF(27&lt;=Inputs!$C$11,F37-M37,IF(27&lt;=Inputs!$C$11+2,0,""))</f>
        <v/>
      </c>
      <c r="U37" s="43" t="str">
        <f aca="false">IF(27&lt;=Inputs!$C$11+2,G37,"")</f>
        <v/>
      </c>
      <c r="V37" s="43" t="str">
        <f aca="false">IF(27&lt;=Inputs!$C$11+1,Inputs!$C$38,IF(27=Inputs!$C$11+2,0,""))</f>
        <v/>
      </c>
      <c r="W37" s="43" t="str">
        <f aca="false">IF(27&lt;=Inputs!$C$11+2,U37-S37,"")</f>
        <v/>
      </c>
      <c r="X37" s="47" t="str">
        <f aca="false">IF(27&lt;=Inputs!$C$11,IF(OR(Inputs!$C$23="",Inputs!$C$22=""),0,MAX(0,EDATE(Inputs!$C$10,27)-MAX(EDATE(Inputs!$C$10,26),Inputs!$C$23))),"")</f>
        <v/>
      </c>
      <c r="Z37" s="44" t="n">
        <f aca="false">EDATE(Inputs!$C$10,31)</f>
        <v>47178</v>
      </c>
      <c r="AA37" s="45" t="n">
        <f aca="false">IF(31&lt;=Inputs!$C$11,IF(Inputs!$C$24="Serviced Monthly",F41,0)+IF(31=Inputs!$C$11,Inputs!$C$14+Inputs!$D$17,0),0)</f>
        <v>0</v>
      </c>
      <c r="AB37" s="45" t="n">
        <f aca="false">AA37-IF(31&lt;=Inputs!$C$11,M41,0)-IF(31=Inputs!$C$11,Inputs!$C$37+Inputs!$D$36,0)</f>
        <v>0</v>
      </c>
    </row>
    <row r="38" customFormat="false" ht="15" hidden="false" customHeight="false" outlineLevel="0" collapsed="false">
      <c r="A38" s="39" t="str">
        <f aca="false">IF(28&lt;=Inputs!$C$11,28,"")</f>
        <v/>
      </c>
      <c r="B38" s="40" t="str">
        <f aca="false">IF(28&lt;=Inputs!$C$11,EDATE(Inputs!$C$10,28),IF(28&lt;=Inputs!$C$11+2,EDATE(Inputs!$C$10,Inputs!$C$11),""))</f>
        <v/>
      </c>
      <c r="C38" s="41" t="str">
        <f aca="false">IF(28&lt;=Inputs!$C$11,IF(AND(N(X38)&gt;0,N(X38)&lt;D38),"Interest (rate change)","Interest"),IF(28=Inputs!$C$11+1,"Exit fee ("&amp;TEXT(Inputs!$C$17,"0.00%")&amp;")",IF(28=Inputs!$C$11+2,"Redemption – principal repaid","")))</f>
        <v/>
      </c>
      <c r="D38" s="46" t="str">
        <f aca="false">IF(28&lt;=Inputs!$C$11,EDATE(Inputs!$C$10,28)-EDATE(Inputs!$C$10,27),"")</f>
        <v/>
      </c>
      <c r="E38" s="43" t="str">
        <f aca="false">IF(28&lt;=Inputs!$C$11+2,0,"")</f>
        <v/>
      </c>
      <c r="F38" s="43" t="str">
        <f aca="false">IF(28&lt;=Inputs!$C$11,Inputs!$C$14*(Inputs!$C$21*(D38-X38)+IF(Inputs!$C$22="",Inputs!$C$21,Inputs!$C$22)*X38)/365,IF(28&lt;=Inputs!$C$11+2,0,""))</f>
        <v/>
      </c>
      <c r="G38" s="43" t="str">
        <f aca="false">IF(28&lt;=Inputs!$C$11,IF(Inputs!$C$24="Serviced Monthly",F38,0),IF(28=Inputs!$C$11+1,Inputs!$D$17,IF(28=Inputs!$C$11+2,Inputs!$C$14,"")))</f>
        <v/>
      </c>
      <c r="H38" s="43" t="str">
        <f aca="false">IF(28&lt;=Inputs!$C$11+1,Inputs!$C$14,IF(28=Inputs!$C$11+2,0,""))</f>
        <v/>
      </c>
      <c r="I38" s="43" t="str">
        <f aca="false">IF(28&lt;=Inputs!$C$11+2,G38,"")</f>
        <v/>
      </c>
      <c r="K38" s="41" t="str">
        <f aca="false">IF(Inputs!$C$37=0,"",IF(28&lt;=Inputs!$C$11,"Senior interest",IF(28=Inputs!$C$11+1,"Senior exit fee ("&amp;TEXT(Inputs!$C$36,"0.00%")&amp;")",IF(28=Inputs!$C$11+2,"Senior loan repaid",""))))</f>
        <v/>
      </c>
      <c r="L38" s="43" t="str">
        <f aca="false">IF(28&lt;=Inputs!$C$11,M38,IF(28=Inputs!$C$11+1,Inputs!$D$36,IF(28=Inputs!$C$11+2,Inputs!$C$37,"")))</f>
        <v/>
      </c>
      <c r="M38" s="43" t="str">
        <f aca="false">IF(28&lt;=Inputs!$C$11,Inputs!$C$37*Inputs!$C$35*D38/365,IF(28&lt;=Inputs!$C$11+2,0,""))</f>
        <v/>
      </c>
      <c r="N38" s="43" t="str">
        <f aca="false">IF(28&lt;=Inputs!$C$11+2,0,"")</f>
        <v/>
      </c>
      <c r="O38" s="43" t="str">
        <f aca="false">IF(28&lt;=Inputs!$C$11+1,Inputs!$C$37,IF(28=Inputs!$C$11+2,0,""))</f>
        <v/>
      </c>
      <c r="P38" s="43" t="str">
        <f aca="false">IF(28&lt;=Inputs!$C$11+2,N38-L38,"")</f>
        <v/>
      </c>
      <c r="R38" s="41" t="str">
        <f aca="false">IF(28&lt;=Inputs!$C$11,"Net interest margin",IF(28=Inputs!$C$11+1,"Net exit fee",IF(28=Inputs!$C$11+2,"Redemption in / senior repaid","")))</f>
        <v/>
      </c>
      <c r="S38" s="43" t="str">
        <f aca="false">IF(28&lt;=Inputs!$C$11+2,L38,"")</f>
        <v/>
      </c>
      <c r="T38" s="43" t="str">
        <f aca="false">IF(28&lt;=Inputs!$C$11,F38-M38,IF(28&lt;=Inputs!$C$11+2,0,""))</f>
        <v/>
      </c>
      <c r="U38" s="43" t="str">
        <f aca="false">IF(28&lt;=Inputs!$C$11+2,G38,"")</f>
        <v/>
      </c>
      <c r="V38" s="43" t="str">
        <f aca="false">IF(28&lt;=Inputs!$C$11+1,Inputs!$C$38,IF(28=Inputs!$C$11+2,0,""))</f>
        <v/>
      </c>
      <c r="W38" s="43" t="str">
        <f aca="false">IF(28&lt;=Inputs!$C$11+2,U38-S38,"")</f>
        <v/>
      </c>
      <c r="X38" s="47" t="str">
        <f aca="false">IF(28&lt;=Inputs!$C$11,IF(OR(Inputs!$C$23="",Inputs!$C$22=""),0,MAX(0,EDATE(Inputs!$C$10,28)-MAX(EDATE(Inputs!$C$10,27),Inputs!$C$23))),"")</f>
        <v/>
      </c>
      <c r="Z38" s="44" t="n">
        <f aca="false">EDATE(Inputs!$C$10,32)</f>
        <v>47209</v>
      </c>
      <c r="AA38" s="45" t="n">
        <f aca="false">IF(32&lt;=Inputs!$C$11,IF(Inputs!$C$24="Serviced Monthly",F42,0)+IF(32=Inputs!$C$11,Inputs!$C$14+Inputs!$D$17,0),0)</f>
        <v>0</v>
      </c>
      <c r="AB38" s="45" t="n">
        <f aca="false">AA38-IF(32&lt;=Inputs!$C$11,M42,0)-IF(32=Inputs!$C$11,Inputs!$C$37+Inputs!$D$36,0)</f>
        <v>0</v>
      </c>
    </row>
    <row r="39" customFormat="false" ht="15" hidden="false" customHeight="false" outlineLevel="0" collapsed="false">
      <c r="A39" s="39" t="str">
        <f aca="false">IF(29&lt;=Inputs!$C$11,29,"")</f>
        <v/>
      </c>
      <c r="B39" s="40" t="str">
        <f aca="false">IF(29&lt;=Inputs!$C$11,EDATE(Inputs!$C$10,29),IF(29&lt;=Inputs!$C$11+2,EDATE(Inputs!$C$10,Inputs!$C$11),""))</f>
        <v/>
      </c>
      <c r="C39" s="41" t="str">
        <f aca="false">IF(29&lt;=Inputs!$C$11,IF(AND(N(X39)&gt;0,N(X39)&lt;D39),"Interest (rate change)","Interest"),IF(29=Inputs!$C$11+1,"Exit fee ("&amp;TEXT(Inputs!$C$17,"0.00%")&amp;")",IF(29=Inputs!$C$11+2,"Redemption – principal repaid","")))</f>
        <v/>
      </c>
      <c r="D39" s="46" t="str">
        <f aca="false">IF(29&lt;=Inputs!$C$11,EDATE(Inputs!$C$10,29)-EDATE(Inputs!$C$10,28),"")</f>
        <v/>
      </c>
      <c r="E39" s="43" t="str">
        <f aca="false">IF(29&lt;=Inputs!$C$11+2,0,"")</f>
        <v/>
      </c>
      <c r="F39" s="43" t="str">
        <f aca="false">IF(29&lt;=Inputs!$C$11,Inputs!$C$14*(Inputs!$C$21*(D39-X39)+IF(Inputs!$C$22="",Inputs!$C$21,Inputs!$C$22)*X39)/365,IF(29&lt;=Inputs!$C$11+2,0,""))</f>
        <v/>
      </c>
      <c r="G39" s="43" t="str">
        <f aca="false">IF(29&lt;=Inputs!$C$11,IF(Inputs!$C$24="Serviced Monthly",F39,0),IF(29=Inputs!$C$11+1,Inputs!$D$17,IF(29=Inputs!$C$11+2,Inputs!$C$14,"")))</f>
        <v/>
      </c>
      <c r="H39" s="43" t="str">
        <f aca="false">IF(29&lt;=Inputs!$C$11+1,Inputs!$C$14,IF(29=Inputs!$C$11+2,0,""))</f>
        <v/>
      </c>
      <c r="I39" s="43" t="str">
        <f aca="false">IF(29&lt;=Inputs!$C$11+2,G39,"")</f>
        <v/>
      </c>
      <c r="K39" s="41" t="str">
        <f aca="false">IF(Inputs!$C$37=0,"",IF(29&lt;=Inputs!$C$11,"Senior interest",IF(29=Inputs!$C$11+1,"Senior exit fee ("&amp;TEXT(Inputs!$C$36,"0.00%")&amp;")",IF(29=Inputs!$C$11+2,"Senior loan repaid",""))))</f>
        <v/>
      </c>
      <c r="L39" s="43" t="str">
        <f aca="false">IF(29&lt;=Inputs!$C$11,M39,IF(29=Inputs!$C$11+1,Inputs!$D$36,IF(29=Inputs!$C$11+2,Inputs!$C$37,"")))</f>
        <v/>
      </c>
      <c r="M39" s="43" t="str">
        <f aca="false">IF(29&lt;=Inputs!$C$11,Inputs!$C$37*Inputs!$C$35*D39/365,IF(29&lt;=Inputs!$C$11+2,0,""))</f>
        <v/>
      </c>
      <c r="N39" s="43" t="str">
        <f aca="false">IF(29&lt;=Inputs!$C$11+2,0,"")</f>
        <v/>
      </c>
      <c r="O39" s="43" t="str">
        <f aca="false">IF(29&lt;=Inputs!$C$11+1,Inputs!$C$37,IF(29=Inputs!$C$11+2,0,""))</f>
        <v/>
      </c>
      <c r="P39" s="43" t="str">
        <f aca="false">IF(29&lt;=Inputs!$C$11+2,N39-L39,"")</f>
        <v/>
      </c>
      <c r="R39" s="41" t="str">
        <f aca="false">IF(29&lt;=Inputs!$C$11,"Net interest margin",IF(29=Inputs!$C$11+1,"Net exit fee",IF(29=Inputs!$C$11+2,"Redemption in / senior repaid","")))</f>
        <v/>
      </c>
      <c r="S39" s="43" t="str">
        <f aca="false">IF(29&lt;=Inputs!$C$11+2,L39,"")</f>
        <v/>
      </c>
      <c r="T39" s="43" t="str">
        <f aca="false">IF(29&lt;=Inputs!$C$11,F39-M39,IF(29&lt;=Inputs!$C$11+2,0,""))</f>
        <v/>
      </c>
      <c r="U39" s="43" t="str">
        <f aca="false">IF(29&lt;=Inputs!$C$11+2,G39,"")</f>
        <v/>
      </c>
      <c r="V39" s="43" t="str">
        <f aca="false">IF(29&lt;=Inputs!$C$11+1,Inputs!$C$38,IF(29=Inputs!$C$11+2,0,""))</f>
        <v/>
      </c>
      <c r="W39" s="43" t="str">
        <f aca="false">IF(29&lt;=Inputs!$C$11+2,U39-S39,"")</f>
        <v/>
      </c>
      <c r="X39" s="47" t="str">
        <f aca="false">IF(29&lt;=Inputs!$C$11,IF(OR(Inputs!$C$23="",Inputs!$C$22=""),0,MAX(0,EDATE(Inputs!$C$10,29)-MAX(EDATE(Inputs!$C$10,28),Inputs!$C$23))),"")</f>
        <v/>
      </c>
      <c r="Z39" s="44" t="n">
        <f aca="false">EDATE(Inputs!$C$10,33)</f>
        <v>47239</v>
      </c>
      <c r="AA39" s="45" t="n">
        <f aca="false">IF(33&lt;=Inputs!$C$11,IF(Inputs!$C$24="Serviced Monthly",F43,0)+IF(33=Inputs!$C$11,Inputs!$C$14+Inputs!$D$17,0),0)</f>
        <v>0</v>
      </c>
      <c r="AB39" s="45" t="n">
        <f aca="false">AA39-IF(33&lt;=Inputs!$C$11,M43,0)-IF(33=Inputs!$C$11,Inputs!$C$37+Inputs!$D$36,0)</f>
        <v>0</v>
      </c>
    </row>
    <row r="40" customFormat="false" ht="15" hidden="false" customHeight="false" outlineLevel="0" collapsed="false">
      <c r="A40" s="39" t="str">
        <f aca="false">IF(30&lt;=Inputs!$C$11,30,"")</f>
        <v/>
      </c>
      <c r="B40" s="40" t="str">
        <f aca="false">IF(30&lt;=Inputs!$C$11,EDATE(Inputs!$C$10,30),IF(30&lt;=Inputs!$C$11+2,EDATE(Inputs!$C$10,Inputs!$C$11),""))</f>
        <v/>
      </c>
      <c r="C40" s="41" t="str">
        <f aca="false">IF(30&lt;=Inputs!$C$11,IF(AND(N(X40)&gt;0,N(X40)&lt;D40),"Interest (rate change)","Interest"),IF(30=Inputs!$C$11+1,"Exit fee ("&amp;TEXT(Inputs!$C$17,"0.00%")&amp;")",IF(30=Inputs!$C$11+2,"Redemption – principal repaid","")))</f>
        <v/>
      </c>
      <c r="D40" s="46" t="str">
        <f aca="false">IF(30&lt;=Inputs!$C$11,EDATE(Inputs!$C$10,30)-EDATE(Inputs!$C$10,29),"")</f>
        <v/>
      </c>
      <c r="E40" s="43" t="str">
        <f aca="false">IF(30&lt;=Inputs!$C$11+2,0,"")</f>
        <v/>
      </c>
      <c r="F40" s="43" t="str">
        <f aca="false">IF(30&lt;=Inputs!$C$11,Inputs!$C$14*(Inputs!$C$21*(D40-X40)+IF(Inputs!$C$22="",Inputs!$C$21,Inputs!$C$22)*X40)/365,IF(30&lt;=Inputs!$C$11+2,0,""))</f>
        <v/>
      </c>
      <c r="G40" s="43" t="str">
        <f aca="false">IF(30&lt;=Inputs!$C$11,IF(Inputs!$C$24="Serviced Monthly",F40,0),IF(30=Inputs!$C$11+1,Inputs!$D$17,IF(30=Inputs!$C$11+2,Inputs!$C$14,"")))</f>
        <v/>
      </c>
      <c r="H40" s="43" t="str">
        <f aca="false">IF(30&lt;=Inputs!$C$11+1,Inputs!$C$14,IF(30=Inputs!$C$11+2,0,""))</f>
        <v/>
      </c>
      <c r="I40" s="43" t="str">
        <f aca="false">IF(30&lt;=Inputs!$C$11+2,G40,"")</f>
        <v/>
      </c>
      <c r="K40" s="41" t="str">
        <f aca="false">IF(Inputs!$C$37=0,"",IF(30&lt;=Inputs!$C$11,"Senior interest",IF(30=Inputs!$C$11+1,"Senior exit fee ("&amp;TEXT(Inputs!$C$36,"0.00%")&amp;")",IF(30=Inputs!$C$11+2,"Senior loan repaid",""))))</f>
        <v/>
      </c>
      <c r="L40" s="43" t="str">
        <f aca="false">IF(30&lt;=Inputs!$C$11,M40,IF(30=Inputs!$C$11+1,Inputs!$D$36,IF(30=Inputs!$C$11+2,Inputs!$C$37,"")))</f>
        <v/>
      </c>
      <c r="M40" s="43" t="str">
        <f aca="false">IF(30&lt;=Inputs!$C$11,Inputs!$C$37*Inputs!$C$35*D40/365,IF(30&lt;=Inputs!$C$11+2,0,""))</f>
        <v/>
      </c>
      <c r="N40" s="43" t="str">
        <f aca="false">IF(30&lt;=Inputs!$C$11+2,0,"")</f>
        <v/>
      </c>
      <c r="O40" s="43" t="str">
        <f aca="false">IF(30&lt;=Inputs!$C$11+1,Inputs!$C$37,IF(30=Inputs!$C$11+2,0,""))</f>
        <v/>
      </c>
      <c r="P40" s="43" t="str">
        <f aca="false">IF(30&lt;=Inputs!$C$11+2,N40-L40,"")</f>
        <v/>
      </c>
      <c r="R40" s="41" t="str">
        <f aca="false">IF(30&lt;=Inputs!$C$11,"Net interest margin",IF(30=Inputs!$C$11+1,"Net exit fee",IF(30=Inputs!$C$11+2,"Redemption in / senior repaid","")))</f>
        <v/>
      </c>
      <c r="S40" s="43" t="str">
        <f aca="false">IF(30&lt;=Inputs!$C$11+2,L40,"")</f>
        <v/>
      </c>
      <c r="T40" s="43" t="str">
        <f aca="false">IF(30&lt;=Inputs!$C$11,F40-M40,IF(30&lt;=Inputs!$C$11+2,0,""))</f>
        <v/>
      </c>
      <c r="U40" s="43" t="str">
        <f aca="false">IF(30&lt;=Inputs!$C$11+2,G40,"")</f>
        <v/>
      </c>
      <c r="V40" s="43" t="str">
        <f aca="false">IF(30&lt;=Inputs!$C$11+1,Inputs!$C$38,IF(30=Inputs!$C$11+2,0,""))</f>
        <v/>
      </c>
      <c r="W40" s="43" t="str">
        <f aca="false">IF(30&lt;=Inputs!$C$11+2,U40-S40,"")</f>
        <v/>
      </c>
      <c r="X40" s="47" t="str">
        <f aca="false">IF(30&lt;=Inputs!$C$11,IF(OR(Inputs!$C$23="",Inputs!$C$22=""),0,MAX(0,EDATE(Inputs!$C$10,30)-MAX(EDATE(Inputs!$C$10,29),Inputs!$C$23))),"")</f>
        <v/>
      </c>
      <c r="Z40" s="44" t="n">
        <f aca="false">EDATE(Inputs!$C$10,34)</f>
        <v>47270</v>
      </c>
      <c r="AA40" s="45" t="n">
        <f aca="false">IF(34&lt;=Inputs!$C$11,IF(Inputs!$C$24="Serviced Monthly",F44,0)+IF(34=Inputs!$C$11,Inputs!$C$14+Inputs!$D$17,0),0)</f>
        <v>0</v>
      </c>
      <c r="AB40" s="45" t="n">
        <f aca="false">AA40-IF(34&lt;=Inputs!$C$11,M44,0)-IF(34=Inputs!$C$11,Inputs!$C$37+Inputs!$D$36,0)</f>
        <v>0</v>
      </c>
    </row>
    <row r="41" customFormat="false" ht="15" hidden="false" customHeight="false" outlineLevel="0" collapsed="false">
      <c r="A41" s="39" t="str">
        <f aca="false">IF(31&lt;=Inputs!$C$11,31,"")</f>
        <v/>
      </c>
      <c r="B41" s="40" t="str">
        <f aca="false">IF(31&lt;=Inputs!$C$11,EDATE(Inputs!$C$10,31),IF(31&lt;=Inputs!$C$11+2,EDATE(Inputs!$C$10,Inputs!$C$11),""))</f>
        <v/>
      </c>
      <c r="C41" s="41" t="str">
        <f aca="false">IF(31&lt;=Inputs!$C$11,IF(AND(N(X41)&gt;0,N(X41)&lt;D41),"Interest (rate change)","Interest"),IF(31=Inputs!$C$11+1,"Exit fee ("&amp;TEXT(Inputs!$C$17,"0.00%")&amp;")",IF(31=Inputs!$C$11+2,"Redemption – principal repaid","")))</f>
        <v/>
      </c>
      <c r="D41" s="46" t="str">
        <f aca="false">IF(31&lt;=Inputs!$C$11,EDATE(Inputs!$C$10,31)-EDATE(Inputs!$C$10,30),"")</f>
        <v/>
      </c>
      <c r="E41" s="43" t="str">
        <f aca="false">IF(31&lt;=Inputs!$C$11+2,0,"")</f>
        <v/>
      </c>
      <c r="F41" s="43" t="str">
        <f aca="false">IF(31&lt;=Inputs!$C$11,Inputs!$C$14*(Inputs!$C$21*(D41-X41)+IF(Inputs!$C$22="",Inputs!$C$21,Inputs!$C$22)*X41)/365,IF(31&lt;=Inputs!$C$11+2,0,""))</f>
        <v/>
      </c>
      <c r="G41" s="43" t="str">
        <f aca="false">IF(31&lt;=Inputs!$C$11,IF(Inputs!$C$24="Serviced Monthly",F41,0),IF(31=Inputs!$C$11+1,Inputs!$D$17,IF(31=Inputs!$C$11+2,Inputs!$C$14,"")))</f>
        <v/>
      </c>
      <c r="H41" s="43" t="str">
        <f aca="false">IF(31&lt;=Inputs!$C$11+1,Inputs!$C$14,IF(31=Inputs!$C$11+2,0,""))</f>
        <v/>
      </c>
      <c r="I41" s="43" t="str">
        <f aca="false">IF(31&lt;=Inputs!$C$11+2,G41,"")</f>
        <v/>
      </c>
      <c r="K41" s="41" t="str">
        <f aca="false">IF(Inputs!$C$37=0,"",IF(31&lt;=Inputs!$C$11,"Senior interest",IF(31=Inputs!$C$11+1,"Senior exit fee ("&amp;TEXT(Inputs!$C$36,"0.00%")&amp;")",IF(31=Inputs!$C$11+2,"Senior loan repaid",""))))</f>
        <v/>
      </c>
      <c r="L41" s="43" t="str">
        <f aca="false">IF(31&lt;=Inputs!$C$11,M41,IF(31=Inputs!$C$11+1,Inputs!$D$36,IF(31=Inputs!$C$11+2,Inputs!$C$37,"")))</f>
        <v/>
      </c>
      <c r="M41" s="43" t="str">
        <f aca="false">IF(31&lt;=Inputs!$C$11,Inputs!$C$37*Inputs!$C$35*D41/365,IF(31&lt;=Inputs!$C$11+2,0,""))</f>
        <v/>
      </c>
      <c r="N41" s="43" t="str">
        <f aca="false">IF(31&lt;=Inputs!$C$11+2,0,"")</f>
        <v/>
      </c>
      <c r="O41" s="43" t="str">
        <f aca="false">IF(31&lt;=Inputs!$C$11+1,Inputs!$C$37,IF(31=Inputs!$C$11+2,0,""))</f>
        <v/>
      </c>
      <c r="P41" s="43" t="str">
        <f aca="false">IF(31&lt;=Inputs!$C$11+2,N41-L41,"")</f>
        <v/>
      </c>
      <c r="R41" s="41" t="str">
        <f aca="false">IF(31&lt;=Inputs!$C$11,"Net interest margin",IF(31=Inputs!$C$11+1,"Net exit fee",IF(31=Inputs!$C$11+2,"Redemption in / senior repaid","")))</f>
        <v/>
      </c>
      <c r="S41" s="43" t="str">
        <f aca="false">IF(31&lt;=Inputs!$C$11+2,L41,"")</f>
        <v/>
      </c>
      <c r="T41" s="43" t="str">
        <f aca="false">IF(31&lt;=Inputs!$C$11,F41-M41,IF(31&lt;=Inputs!$C$11+2,0,""))</f>
        <v/>
      </c>
      <c r="U41" s="43" t="str">
        <f aca="false">IF(31&lt;=Inputs!$C$11+2,G41,"")</f>
        <v/>
      </c>
      <c r="V41" s="43" t="str">
        <f aca="false">IF(31&lt;=Inputs!$C$11+1,Inputs!$C$38,IF(31=Inputs!$C$11+2,0,""))</f>
        <v/>
      </c>
      <c r="W41" s="43" t="str">
        <f aca="false">IF(31&lt;=Inputs!$C$11+2,U41-S41,"")</f>
        <v/>
      </c>
      <c r="X41" s="47" t="str">
        <f aca="false">IF(31&lt;=Inputs!$C$11,IF(OR(Inputs!$C$23="",Inputs!$C$22=""),0,MAX(0,EDATE(Inputs!$C$10,31)-MAX(EDATE(Inputs!$C$10,30),Inputs!$C$23))),"")</f>
        <v/>
      </c>
      <c r="Z41" s="44" t="n">
        <f aca="false">EDATE(Inputs!$C$10,35)</f>
        <v>47300</v>
      </c>
      <c r="AA41" s="45" t="n">
        <f aca="false">IF(35&lt;=Inputs!$C$11,IF(Inputs!$C$24="Serviced Monthly",F45,0)+IF(35=Inputs!$C$11,Inputs!$C$14+Inputs!$D$17,0),0)</f>
        <v>0</v>
      </c>
      <c r="AB41" s="45" t="n">
        <f aca="false">AA41-IF(35&lt;=Inputs!$C$11,M45,0)-IF(35=Inputs!$C$11,Inputs!$C$37+Inputs!$D$36,0)</f>
        <v>0</v>
      </c>
    </row>
    <row r="42" customFormat="false" ht="15" hidden="false" customHeight="false" outlineLevel="0" collapsed="false">
      <c r="A42" s="39" t="str">
        <f aca="false">IF(32&lt;=Inputs!$C$11,32,"")</f>
        <v/>
      </c>
      <c r="B42" s="40" t="str">
        <f aca="false">IF(32&lt;=Inputs!$C$11,EDATE(Inputs!$C$10,32),IF(32&lt;=Inputs!$C$11+2,EDATE(Inputs!$C$10,Inputs!$C$11),""))</f>
        <v/>
      </c>
      <c r="C42" s="41" t="str">
        <f aca="false">IF(32&lt;=Inputs!$C$11,IF(AND(N(X42)&gt;0,N(X42)&lt;D42),"Interest (rate change)","Interest"),IF(32=Inputs!$C$11+1,"Exit fee ("&amp;TEXT(Inputs!$C$17,"0.00%")&amp;")",IF(32=Inputs!$C$11+2,"Redemption – principal repaid","")))</f>
        <v/>
      </c>
      <c r="D42" s="46" t="str">
        <f aca="false">IF(32&lt;=Inputs!$C$11,EDATE(Inputs!$C$10,32)-EDATE(Inputs!$C$10,31),"")</f>
        <v/>
      </c>
      <c r="E42" s="43" t="str">
        <f aca="false">IF(32&lt;=Inputs!$C$11+2,0,"")</f>
        <v/>
      </c>
      <c r="F42" s="43" t="str">
        <f aca="false">IF(32&lt;=Inputs!$C$11,Inputs!$C$14*(Inputs!$C$21*(D42-X42)+IF(Inputs!$C$22="",Inputs!$C$21,Inputs!$C$22)*X42)/365,IF(32&lt;=Inputs!$C$11+2,0,""))</f>
        <v/>
      </c>
      <c r="G42" s="43" t="str">
        <f aca="false">IF(32&lt;=Inputs!$C$11,IF(Inputs!$C$24="Serviced Monthly",F42,0),IF(32=Inputs!$C$11+1,Inputs!$D$17,IF(32=Inputs!$C$11+2,Inputs!$C$14,"")))</f>
        <v/>
      </c>
      <c r="H42" s="43" t="str">
        <f aca="false">IF(32&lt;=Inputs!$C$11+1,Inputs!$C$14,IF(32=Inputs!$C$11+2,0,""))</f>
        <v/>
      </c>
      <c r="I42" s="43" t="str">
        <f aca="false">IF(32&lt;=Inputs!$C$11+2,G42,"")</f>
        <v/>
      </c>
      <c r="K42" s="41" t="str">
        <f aca="false">IF(Inputs!$C$37=0,"",IF(32&lt;=Inputs!$C$11,"Senior interest",IF(32=Inputs!$C$11+1,"Senior exit fee ("&amp;TEXT(Inputs!$C$36,"0.00%")&amp;")",IF(32=Inputs!$C$11+2,"Senior loan repaid",""))))</f>
        <v/>
      </c>
      <c r="L42" s="43" t="str">
        <f aca="false">IF(32&lt;=Inputs!$C$11,M42,IF(32=Inputs!$C$11+1,Inputs!$D$36,IF(32=Inputs!$C$11+2,Inputs!$C$37,"")))</f>
        <v/>
      </c>
      <c r="M42" s="43" t="str">
        <f aca="false">IF(32&lt;=Inputs!$C$11,Inputs!$C$37*Inputs!$C$35*D42/365,IF(32&lt;=Inputs!$C$11+2,0,""))</f>
        <v/>
      </c>
      <c r="N42" s="43" t="str">
        <f aca="false">IF(32&lt;=Inputs!$C$11+2,0,"")</f>
        <v/>
      </c>
      <c r="O42" s="43" t="str">
        <f aca="false">IF(32&lt;=Inputs!$C$11+1,Inputs!$C$37,IF(32=Inputs!$C$11+2,0,""))</f>
        <v/>
      </c>
      <c r="P42" s="43" t="str">
        <f aca="false">IF(32&lt;=Inputs!$C$11+2,N42-L42,"")</f>
        <v/>
      </c>
      <c r="R42" s="41" t="str">
        <f aca="false">IF(32&lt;=Inputs!$C$11,"Net interest margin",IF(32=Inputs!$C$11+1,"Net exit fee",IF(32=Inputs!$C$11+2,"Redemption in / senior repaid","")))</f>
        <v/>
      </c>
      <c r="S42" s="43" t="str">
        <f aca="false">IF(32&lt;=Inputs!$C$11+2,L42,"")</f>
        <v/>
      </c>
      <c r="T42" s="43" t="str">
        <f aca="false">IF(32&lt;=Inputs!$C$11,F42-M42,IF(32&lt;=Inputs!$C$11+2,0,""))</f>
        <v/>
      </c>
      <c r="U42" s="43" t="str">
        <f aca="false">IF(32&lt;=Inputs!$C$11+2,G42,"")</f>
        <v/>
      </c>
      <c r="V42" s="43" t="str">
        <f aca="false">IF(32&lt;=Inputs!$C$11+1,Inputs!$C$38,IF(32=Inputs!$C$11+2,0,""))</f>
        <v/>
      </c>
      <c r="W42" s="43" t="str">
        <f aca="false">IF(32&lt;=Inputs!$C$11+2,U42-S42,"")</f>
        <v/>
      </c>
      <c r="X42" s="47" t="str">
        <f aca="false">IF(32&lt;=Inputs!$C$11,IF(OR(Inputs!$C$23="",Inputs!$C$22=""),0,MAX(0,EDATE(Inputs!$C$10,32)-MAX(EDATE(Inputs!$C$10,31),Inputs!$C$23))),"")</f>
        <v/>
      </c>
      <c r="Z42" s="44" t="n">
        <f aca="false">EDATE(Inputs!$C$10,36)</f>
        <v>47331</v>
      </c>
      <c r="AA42" s="45" t="n">
        <f aca="false">IF(36&lt;=Inputs!$C$11,IF(Inputs!$C$24="Serviced Monthly",F46,0)+IF(36=Inputs!$C$11,Inputs!$C$14+Inputs!$D$17,0),0)</f>
        <v>0</v>
      </c>
      <c r="AB42" s="45" t="n">
        <f aca="false">AA42-IF(36&lt;=Inputs!$C$11,M46,0)-IF(36=Inputs!$C$11,Inputs!$C$37+Inputs!$D$36,0)</f>
        <v>0</v>
      </c>
    </row>
    <row r="43" customFormat="false" ht="15" hidden="false" customHeight="false" outlineLevel="0" collapsed="false">
      <c r="A43" s="39" t="str">
        <f aca="false">IF(33&lt;=Inputs!$C$11,33,"")</f>
        <v/>
      </c>
      <c r="B43" s="40" t="str">
        <f aca="false">IF(33&lt;=Inputs!$C$11,EDATE(Inputs!$C$10,33),IF(33&lt;=Inputs!$C$11+2,EDATE(Inputs!$C$10,Inputs!$C$11),""))</f>
        <v/>
      </c>
      <c r="C43" s="41" t="str">
        <f aca="false">IF(33&lt;=Inputs!$C$11,IF(AND(N(X43)&gt;0,N(X43)&lt;D43),"Interest (rate change)","Interest"),IF(33=Inputs!$C$11+1,"Exit fee ("&amp;TEXT(Inputs!$C$17,"0.00%")&amp;")",IF(33=Inputs!$C$11+2,"Redemption – principal repaid","")))</f>
        <v/>
      </c>
      <c r="D43" s="46" t="str">
        <f aca="false">IF(33&lt;=Inputs!$C$11,EDATE(Inputs!$C$10,33)-EDATE(Inputs!$C$10,32),"")</f>
        <v/>
      </c>
      <c r="E43" s="43" t="str">
        <f aca="false">IF(33&lt;=Inputs!$C$11+2,0,"")</f>
        <v/>
      </c>
      <c r="F43" s="43" t="str">
        <f aca="false">IF(33&lt;=Inputs!$C$11,Inputs!$C$14*(Inputs!$C$21*(D43-X43)+IF(Inputs!$C$22="",Inputs!$C$21,Inputs!$C$22)*X43)/365,IF(33&lt;=Inputs!$C$11+2,0,""))</f>
        <v/>
      </c>
      <c r="G43" s="43" t="str">
        <f aca="false">IF(33&lt;=Inputs!$C$11,IF(Inputs!$C$24="Serviced Monthly",F43,0),IF(33=Inputs!$C$11+1,Inputs!$D$17,IF(33=Inputs!$C$11+2,Inputs!$C$14,"")))</f>
        <v/>
      </c>
      <c r="H43" s="43" t="str">
        <f aca="false">IF(33&lt;=Inputs!$C$11+1,Inputs!$C$14,IF(33=Inputs!$C$11+2,0,""))</f>
        <v/>
      </c>
      <c r="I43" s="43" t="str">
        <f aca="false">IF(33&lt;=Inputs!$C$11+2,G43,"")</f>
        <v/>
      </c>
      <c r="K43" s="41" t="str">
        <f aca="false">IF(Inputs!$C$37=0,"",IF(33&lt;=Inputs!$C$11,"Senior interest",IF(33=Inputs!$C$11+1,"Senior exit fee ("&amp;TEXT(Inputs!$C$36,"0.00%")&amp;")",IF(33=Inputs!$C$11+2,"Senior loan repaid",""))))</f>
        <v/>
      </c>
      <c r="L43" s="43" t="str">
        <f aca="false">IF(33&lt;=Inputs!$C$11,M43,IF(33=Inputs!$C$11+1,Inputs!$D$36,IF(33=Inputs!$C$11+2,Inputs!$C$37,"")))</f>
        <v/>
      </c>
      <c r="M43" s="43" t="str">
        <f aca="false">IF(33&lt;=Inputs!$C$11,Inputs!$C$37*Inputs!$C$35*D43/365,IF(33&lt;=Inputs!$C$11+2,0,""))</f>
        <v/>
      </c>
      <c r="N43" s="43" t="str">
        <f aca="false">IF(33&lt;=Inputs!$C$11+2,0,"")</f>
        <v/>
      </c>
      <c r="O43" s="43" t="str">
        <f aca="false">IF(33&lt;=Inputs!$C$11+1,Inputs!$C$37,IF(33=Inputs!$C$11+2,0,""))</f>
        <v/>
      </c>
      <c r="P43" s="43" t="str">
        <f aca="false">IF(33&lt;=Inputs!$C$11+2,N43-L43,"")</f>
        <v/>
      </c>
      <c r="R43" s="41" t="str">
        <f aca="false">IF(33&lt;=Inputs!$C$11,"Net interest margin",IF(33=Inputs!$C$11+1,"Net exit fee",IF(33=Inputs!$C$11+2,"Redemption in / senior repaid","")))</f>
        <v/>
      </c>
      <c r="S43" s="43" t="str">
        <f aca="false">IF(33&lt;=Inputs!$C$11+2,L43,"")</f>
        <v/>
      </c>
      <c r="T43" s="43" t="str">
        <f aca="false">IF(33&lt;=Inputs!$C$11,F43-M43,IF(33&lt;=Inputs!$C$11+2,0,""))</f>
        <v/>
      </c>
      <c r="U43" s="43" t="str">
        <f aca="false">IF(33&lt;=Inputs!$C$11+2,G43,"")</f>
        <v/>
      </c>
      <c r="V43" s="43" t="str">
        <f aca="false">IF(33&lt;=Inputs!$C$11+1,Inputs!$C$38,IF(33=Inputs!$C$11+2,0,""))</f>
        <v/>
      </c>
      <c r="W43" s="43" t="str">
        <f aca="false">IF(33&lt;=Inputs!$C$11+2,U43-S43,"")</f>
        <v/>
      </c>
      <c r="X43" s="47" t="str">
        <f aca="false">IF(33&lt;=Inputs!$C$11,IF(OR(Inputs!$C$23="",Inputs!$C$22=""),0,MAX(0,EDATE(Inputs!$C$10,33)-MAX(EDATE(Inputs!$C$10,32),Inputs!$C$23))),"")</f>
        <v/>
      </c>
    </row>
    <row r="44" customFormat="false" ht="15" hidden="false" customHeight="false" outlineLevel="0" collapsed="false">
      <c r="A44" s="39" t="str">
        <f aca="false">IF(34&lt;=Inputs!$C$11,34,"")</f>
        <v/>
      </c>
      <c r="B44" s="40" t="str">
        <f aca="false">IF(34&lt;=Inputs!$C$11,EDATE(Inputs!$C$10,34),IF(34&lt;=Inputs!$C$11+2,EDATE(Inputs!$C$10,Inputs!$C$11),""))</f>
        <v/>
      </c>
      <c r="C44" s="41" t="str">
        <f aca="false">IF(34&lt;=Inputs!$C$11,IF(AND(N(X44)&gt;0,N(X44)&lt;D44),"Interest (rate change)","Interest"),IF(34=Inputs!$C$11+1,"Exit fee ("&amp;TEXT(Inputs!$C$17,"0.00%")&amp;")",IF(34=Inputs!$C$11+2,"Redemption – principal repaid","")))</f>
        <v/>
      </c>
      <c r="D44" s="46" t="str">
        <f aca="false">IF(34&lt;=Inputs!$C$11,EDATE(Inputs!$C$10,34)-EDATE(Inputs!$C$10,33),"")</f>
        <v/>
      </c>
      <c r="E44" s="43" t="str">
        <f aca="false">IF(34&lt;=Inputs!$C$11+2,0,"")</f>
        <v/>
      </c>
      <c r="F44" s="43" t="str">
        <f aca="false">IF(34&lt;=Inputs!$C$11,Inputs!$C$14*(Inputs!$C$21*(D44-X44)+IF(Inputs!$C$22="",Inputs!$C$21,Inputs!$C$22)*X44)/365,IF(34&lt;=Inputs!$C$11+2,0,""))</f>
        <v/>
      </c>
      <c r="G44" s="43" t="str">
        <f aca="false">IF(34&lt;=Inputs!$C$11,IF(Inputs!$C$24="Serviced Monthly",F44,0),IF(34=Inputs!$C$11+1,Inputs!$D$17,IF(34=Inputs!$C$11+2,Inputs!$C$14,"")))</f>
        <v/>
      </c>
      <c r="H44" s="43" t="str">
        <f aca="false">IF(34&lt;=Inputs!$C$11+1,Inputs!$C$14,IF(34=Inputs!$C$11+2,0,""))</f>
        <v/>
      </c>
      <c r="I44" s="43" t="str">
        <f aca="false">IF(34&lt;=Inputs!$C$11+2,G44,"")</f>
        <v/>
      </c>
      <c r="K44" s="41" t="str">
        <f aca="false">IF(Inputs!$C$37=0,"",IF(34&lt;=Inputs!$C$11,"Senior interest",IF(34=Inputs!$C$11+1,"Senior exit fee ("&amp;TEXT(Inputs!$C$36,"0.00%")&amp;")",IF(34=Inputs!$C$11+2,"Senior loan repaid",""))))</f>
        <v/>
      </c>
      <c r="L44" s="43" t="str">
        <f aca="false">IF(34&lt;=Inputs!$C$11,M44,IF(34=Inputs!$C$11+1,Inputs!$D$36,IF(34=Inputs!$C$11+2,Inputs!$C$37,"")))</f>
        <v/>
      </c>
      <c r="M44" s="43" t="str">
        <f aca="false">IF(34&lt;=Inputs!$C$11,Inputs!$C$37*Inputs!$C$35*D44/365,IF(34&lt;=Inputs!$C$11+2,0,""))</f>
        <v/>
      </c>
      <c r="N44" s="43" t="str">
        <f aca="false">IF(34&lt;=Inputs!$C$11+2,0,"")</f>
        <v/>
      </c>
      <c r="O44" s="43" t="str">
        <f aca="false">IF(34&lt;=Inputs!$C$11+1,Inputs!$C$37,IF(34=Inputs!$C$11+2,0,""))</f>
        <v/>
      </c>
      <c r="P44" s="43" t="str">
        <f aca="false">IF(34&lt;=Inputs!$C$11+2,N44-L44,"")</f>
        <v/>
      </c>
      <c r="R44" s="41" t="str">
        <f aca="false">IF(34&lt;=Inputs!$C$11,"Net interest margin",IF(34=Inputs!$C$11+1,"Net exit fee",IF(34=Inputs!$C$11+2,"Redemption in / senior repaid","")))</f>
        <v/>
      </c>
      <c r="S44" s="43" t="str">
        <f aca="false">IF(34&lt;=Inputs!$C$11+2,L44,"")</f>
        <v/>
      </c>
      <c r="T44" s="43" t="str">
        <f aca="false">IF(34&lt;=Inputs!$C$11,F44-M44,IF(34&lt;=Inputs!$C$11+2,0,""))</f>
        <v/>
      </c>
      <c r="U44" s="43" t="str">
        <f aca="false">IF(34&lt;=Inputs!$C$11+2,G44,"")</f>
        <v/>
      </c>
      <c r="V44" s="43" t="str">
        <f aca="false">IF(34&lt;=Inputs!$C$11+1,Inputs!$C$38,IF(34=Inputs!$C$11+2,0,""))</f>
        <v/>
      </c>
      <c r="W44" s="43" t="str">
        <f aca="false">IF(34&lt;=Inputs!$C$11+2,U44-S44,"")</f>
        <v/>
      </c>
      <c r="X44" s="47" t="str">
        <f aca="false">IF(34&lt;=Inputs!$C$11,IF(OR(Inputs!$C$23="",Inputs!$C$22=""),0,MAX(0,EDATE(Inputs!$C$10,34)-MAX(EDATE(Inputs!$C$10,33),Inputs!$C$23))),"")</f>
        <v/>
      </c>
    </row>
    <row r="45" customFormat="false" ht="15" hidden="false" customHeight="false" outlineLevel="0" collapsed="false">
      <c r="A45" s="39" t="str">
        <f aca="false">IF(35&lt;=Inputs!$C$11,35,"")</f>
        <v/>
      </c>
      <c r="B45" s="40" t="str">
        <f aca="false">IF(35&lt;=Inputs!$C$11,EDATE(Inputs!$C$10,35),IF(35&lt;=Inputs!$C$11+2,EDATE(Inputs!$C$10,Inputs!$C$11),""))</f>
        <v/>
      </c>
      <c r="C45" s="41" t="str">
        <f aca="false">IF(35&lt;=Inputs!$C$11,IF(AND(N(X45)&gt;0,N(X45)&lt;D45),"Interest (rate change)","Interest"),IF(35=Inputs!$C$11+1,"Exit fee ("&amp;TEXT(Inputs!$C$17,"0.00%")&amp;")",IF(35=Inputs!$C$11+2,"Redemption – principal repaid","")))</f>
        <v/>
      </c>
      <c r="D45" s="46" t="str">
        <f aca="false">IF(35&lt;=Inputs!$C$11,EDATE(Inputs!$C$10,35)-EDATE(Inputs!$C$10,34),"")</f>
        <v/>
      </c>
      <c r="E45" s="43" t="str">
        <f aca="false">IF(35&lt;=Inputs!$C$11+2,0,"")</f>
        <v/>
      </c>
      <c r="F45" s="43" t="str">
        <f aca="false">IF(35&lt;=Inputs!$C$11,Inputs!$C$14*(Inputs!$C$21*(D45-X45)+IF(Inputs!$C$22="",Inputs!$C$21,Inputs!$C$22)*X45)/365,IF(35&lt;=Inputs!$C$11+2,0,""))</f>
        <v/>
      </c>
      <c r="G45" s="43" t="str">
        <f aca="false">IF(35&lt;=Inputs!$C$11,IF(Inputs!$C$24="Serviced Monthly",F45,0),IF(35=Inputs!$C$11+1,Inputs!$D$17,IF(35=Inputs!$C$11+2,Inputs!$C$14,"")))</f>
        <v/>
      </c>
      <c r="H45" s="43" t="str">
        <f aca="false">IF(35&lt;=Inputs!$C$11+1,Inputs!$C$14,IF(35=Inputs!$C$11+2,0,""))</f>
        <v/>
      </c>
      <c r="I45" s="43" t="str">
        <f aca="false">IF(35&lt;=Inputs!$C$11+2,G45,"")</f>
        <v/>
      </c>
      <c r="K45" s="41" t="str">
        <f aca="false">IF(Inputs!$C$37=0,"",IF(35&lt;=Inputs!$C$11,"Senior interest",IF(35=Inputs!$C$11+1,"Senior exit fee ("&amp;TEXT(Inputs!$C$36,"0.00%")&amp;")",IF(35=Inputs!$C$11+2,"Senior loan repaid",""))))</f>
        <v/>
      </c>
      <c r="L45" s="43" t="str">
        <f aca="false">IF(35&lt;=Inputs!$C$11,M45,IF(35=Inputs!$C$11+1,Inputs!$D$36,IF(35=Inputs!$C$11+2,Inputs!$C$37,"")))</f>
        <v/>
      </c>
      <c r="M45" s="43" t="str">
        <f aca="false">IF(35&lt;=Inputs!$C$11,Inputs!$C$37*Inputs!$C$35*D45/365,IF(35&lt;=Inputs!$C$11+2,0,""))</f>
        <v/>
      </c>
      <c r="N45" s="43" t="str">
        <f aca="false">IF(35&lt;=Inputs!$C$11+2,0,"")</f>
        <v/>
      </c>
      <c r="O45" s="43" t="str">
        <f aca="false">IF(35&lt;=Inputs!$C$11+1,Inputs!$C$37,IF(35=Inputs!$C$11+2,0,""))</f>
        <v/>
      </c>
      <c r="P45" s="43" t="str">
        <f aca="false">IF(35&lt;=Inputs!$C$11+2,N45-L45,"")</f>
        <v/>
      </c>
      <c r="R45" s="41" t="str">
        <f aca="false">IF(35&lt;=Inputs!$C$11,"Net interest margin",IF(35=Inputs!$C$11+1,"Net exit fee",IF(35=Inputs!$C$11+2,"Redemption in / senior repaid","")))</f>
        <v/>
      </c>
      <c r="S45" s="43" t="str">
        <f aca="false">IF(35&lt;=Inputs!$C$11+2,L45,"")</f>
        <v/>
      </c>
      <c r="T45" s="43" t="str">
        <f aca="false">IF(35&lt;=Inputs!$C$11,F45-M45,IF(35&lt;=Inputs!$C$11+2,0,""))</f>
        <v/>
      </c>
      <c r="U45" s="43" t="str">
        <f aca="false">IF(35&lt;=Inputs!$C$11+2,G45,"")</f>
        <v/>
      </c>
      <c r="V45" s="43" t="str">
        <f aca="false">IF(35&lt;=Inputs!$C$11+1,Inputs!$C$38,IF(35=Inputs!$C$11+2,0,""))</f>
        <v/>
      </c>
      <c r="W45" s="43" t="str">
        <f aca="false">IF(35&lt;=Inputs!$C$11+2,U45-S45,"")</f>
        <v/>
      </c>
      <c r="X45" s="47" t="str">
        <f aca="false">IF(35&lt;=Inputs!$C$11,IF(OR(Inputs!$C$23="",Inputs!$C$22=""),0,MAX(0,EDATE(Inputs!$C$10,35)-MAX(EDATE(Inputs!$C$10,34),Inputs!$C$23))),"")</f>
        <v/>
      </c>
    </row>
    <row r="46" customFormat="false" ht="15" hidden="false" customHeight="false" outlineLevel="0" collapsed="false">
      <c r="A46" s="39" t="str">
        <f aca="false">IF(36&lt;=Inputs!$C$11,36,"")</f>
        <v/>
      </c>
      <c r="B46" s="40" t="str">
        <f aca="false">IF(36&lt;=Inputs!$C$11,EDATE(Inputs!$C$10,36),IF(36&lt;=Inputs!$C$11+2,EDATE(Inputs!$C$10,Inputs!$C$11),""))</f>
        <v/>
      </c>
      <c r="C46" s="41" t="str">
        <f aca="false">IF(36&lt;=Inputs!$C$11,IF(AND(N(X46)&gt;0,N(X46)&lt;D46),"Interest (rate change)","Interest"),IF(36=Inputs!$C$11+1,"Exit fee ("&amp;TEXT(Inputs!$C$17,"0.00%")&amp;")",IF(36=Inputs!$C$11+2,"Redemption – principal repaid","")))</f>
        <v/>
      </c>
      <c r="D46" s="46" t="str">
        <f aca="false">IF(36&lt;=Inputs!$C$11,EDATE(Inputs!$C$10,36)-EDATE(Inputs!$C$10,35),"")</f>
        <v/>
      </c>
      <c r="E46" s="43" t="str">
        <f aca="false">IF(36&lt;=Inputs!$C$11+2,0,"")</f>
        <v/>
      </c>
      <c r="F46" s="43" t="str">
        <f aca="false">IF(36&lt;=Inputs!$C$11,Inputs!$C$14*(Inputs!$C$21*(D46-X46)+IF(Inputs!$C$22="",Inputs!$C$21,Inputs!$C$22)*X46)/365,IF(36&lt;=Inputs!$C$11+2,0,""))</f>
        <v/>
      </c>
      <c r="G46" s="43" t="str">
        <f aca="false">IF(36&lt;=Inputs!$C$11,IF(Inputs!$C$24="Serviced Monthly",F46,0),IF(36=Inputs!$C$11+1,Inputs!$D$17,IF(36=Inputs!$C$11+2,Inputs!$C$14,"")))</f>
        <v/>
      </c>
      <c r="H46" s="43" t="str">
        <f aca="false">IF(36&lt;=Inputs!$C$11+1,Inputs!$C$14,IF(36=Inputs!$C$11+2,0,""))</f>
        <v/>
      </c>
      <c r="I46" s="43" t="str">
        <f aca="false">IF(36&lt;=Inputs!$C$11+2,G46,"")</f>
        <v/>
      </c>
      <c r="K46" s="41" t="str">
        <f aca="false">IF(Inputs!$C$37=0,"",IF(36&lt;=Inputs!$C$11,"Senior interest",IF(36=Inputs!$C$11+1,"Senior exit fee ("&amp;TEXT(Inputs!$C$36,"0.00%")&amp;")",IF(36=Inputs!$C$11+2,"Senior loan repaid",""))))</f>
        <v/>
      </c>
      <c r="L46" s="43" t="str">
        <f aca="false">IF(36&lt;=Inputs!$C$11,M46,IF(36=Inputs!$C$11+1,Inputs!$D$36,IF(36=Inputs!$C$11+2,Inputs!$C$37,"")))</f>
        <v/>
      </c>
      <c r="M46" s="43" t="str">
        <f aca="false">IF(36&lt;=Inputs!$C$11,Inputs!$C$37*Inputs!$C$35*D46/365,IF(36&lt;=Inputs!$C$11+2,0,""))</f>
        <v/>
      </c>
      <c r="N46" s="43" t="str">
        <f aca="false">IF(36&lt;=Inputs!$C$11+2,0,"")</f>
        <v/>
      </c>
      <c r="O46" s="43" t="str">
        <f aca="false">IF(36&lt;=Inputs!$C$11+1,Inputs!$C$37,IF(36=Inputs!$C$11+2,0,""))</f>
        <v/>
      </c>
      <c r="P46" s="43" t="str">
        <f aca="false">IF(36&lt;=Inputs!$C$11+2,N46-L46,"")</f>
        <v/>
      </c>
      <c r="R46" s="41" t="str">
        <f aca="false">IF(36&lt;=Inputs!$C$11,"Net interest margin",IF(36=Inputs!$C$11+1,"Net exit fee",IF(36=Inputs!$C$11+2,"Redemption in / senior repaid","")))</f>
        <v/>
      </c>
      <c r="S46" s="43" t="str">
        <f aca="false">IF(36&lt;=Inputs!$C$11+2,L46,"")</f>
        <v/>
      </c>
      <c r="T46" s="43" t="str">
        <f aca="false">IF(36&lt;=Inputs!$C$11,F46-M46,IF(36&lt;=Inputs!$C$11+2,0,""))</f>
        <v/>
      </c>
      <c r="U46" s="43" t="str">
        <f aca="false">IF(36&lt;=Inputs!$C$11+2,G46,"")</f>
        <v/>
      </c>
      <c r="V46" s="43" t="str">
        <f aca="false">IF(36&lt;=Inputs!$C$11+1,Inputs!$C$38,IF(36=Inputs!$C$11+2,0,""))</f>
        <v/>
      </c>
      <c r="W46" s="43" t="str">
        <f aca="false">IF(36&lt;=Inputs!$C$11+2,U46-S46,"")</f>
        <v/>
      </c>
      <c r="X46" s="47" t="str">
        <f aca="false">IF(36&lt;=Inputs!$C$11,IF(OR(Inputs!$C$23="",Inputs!$C$22=""),0,MAX(0,EDATE(Inputs!$C$10,36)-MAX(EDATE(Inputs!$C$10,35),Inputs!$C$23))),"")</f>
        <v/>
      </c>
    </row>
    <row r="47" customFormat="false" ht="15" hidden="false" customHeight="false" outlineLevel="0" collapsed="false">
      <c r="A47" s="39" t="str">
        <f aca="false">IF(37&lt;=Inputs!$C$11,37,"")</f>
        <v/>
      </c>
      <c r="B47" s="40" t="str">
        <f aca="false">IF(37&lt;=Inputs!$C$11,EDATE(Inputs!$C$10,37),IF(37&lt;=Inputs!$C$11+2,EDATE(Inputs!$C$10,Inputs!$C$11),""))</f>
        <v/>
      </c>
      <c r="C47" s="41" t="str">
        <f aca="false">IF(37&lt;=Inputs!$C$11,IF(AND(N(X47)&gt;0,N(X47)&lt;D47),"Interest (rate change)","Interest"),IF(37=Inputs!$C$11+1,"Exit fee ("&amp;TEXT(Inputs!$C$17,"0.00%")&amp;")",IF(37=Inputs!$C$11+2,"Redemption – principal repaid","")))</f>
        <v/>
      </c>
      <c r="D47" s="46" t="str">
        <f aca="false">IF(37&lt;=Inputs!$C$11,EDATE(Inputs!$C$10,37)-EDATE(Inputs!$C$10,36),"")</f>
        <v/>
      </c>
      <c r="E47" s="43" t="str">
        <f aca="false">IF(37&lt;=Inputs!$C$11+2,0,"")</f>
        <v/>
      </c>
      <c r="F47" s="43" t="str">
        <f aca="false">IF(37&lt;=Inputs!$C$11,Inputs!$C$14*(Inputs!$C$21*(D47-X47)+IF(Inputs!$C$22="",Inputs!$C$21,Inputs!$C$22)*X47)/365,IF(37&lt;=Inputs!$C$11+2,0,""))</f>
        <v/>
      </c>
      <c r="G47" s="43" t="str">
        <f aca="false">IF(37&lt;=Inputs!$C$11,IF(Inputs!$C$24="Serviced Monthly",F47,0),IF(37=Inputs!$C$11+1,Inputs!$D$17,IF(37=Inputs!$C$11+2,Inputs!$C$14,"")))</f>
        <v/>
      </c>
      <c r="H47" s="43" t="str">
        <f aca="false">IF(37&lt;=Inputs!$C$11+1,Inputs!$C$14,IF(37=Inputs!$C$11+2,0,""))</f>
        <v/>
      </c>
      <c r="I47" s="43" t="str">
        <f aca="false">IF(37&lt;=Inputs!$C$11+2,G47,"")</f>
        <v/>
      </c>
      <c r="K47" s="41" t="str">
        <f aca="false">IF(Inputs!$C$37=0,"",IF(37&lt;=Inputs!$C$11,"Senior interest",IF(37=Inputs!$C$11+1,"Senior exit fee ("&amp;TEXT(Inputs!$C$36,"0.00%")&amp;")",IF(37=Inputs!$C$11+2,"Senior loan repaid",""))))</f>
        <v/>
      </c>
      <c r="L47" s="43" t="str">
        <f aca="false">IF(37&lt;=Inputs!$C$11,M47,IF(37=Inputs!$C$11+1,Inputs!$D$36,IF(37=Inputs!$C$11+2,Inputs!$C$37,"")))</f>
        <v/>
      </c>
      <c r="M47" s="43" t="str">
        <f aca="false">IF(37&lt;=Inputs!$C$11,Inputs!$C$37*Inputs!$C$35*D47/365,IF(37&lt;=Inputs!$C$11+2,0,""))</f>
        <v/>
      </c>
      <c r="N47" s="43" t="str">
        <f aca="false">IF(37&lt;=Inputs!$C$11+2,0,"")</f>
        <v/>
      </c>
      <c r="O47" s="43" t="str">
        <f aca="false">IF(37&lt;=Inputs!$C$11+1,Inputs!$C$37,IF(37=Inputs!$C$11+2,0,""))</f>
        <v/>
      </c>
      <c r="P47" s="43" t="str">
        <f aca="false">IF(37&lt;=Inputs!$C$11+2,N47-L47,"")</f>
        <v/>
      </c>
      <c r="R47" s="41" t="str">
        <f aca="false">IF(37&lt;=Inputs!$C$11,"Net interest margin",IF(37=Inputs!$C$11+1,"Net exit fee",IF(37=Inputs!$C$11+2,"Redemption in / senior repaid","")))</f>
        <v/>
      </c>
      <c r="S47" s="43" t="str">
        <f aca="false">IF(37&lt;=Inputs!$C$11+2,L47,"")</f>
        <v/>
      </c>
      <c r="T47" s="43" t="str">
        <f aca="false">IF(37&lt;=Inputs!$C$11,F47-M47,IF(37&lt;=Inputs!$C$11+2,0,""))</f>
        <v/>
      </c>
      <c r="U47" s="43" t="str">
        <f aca="false">IF(37&lt;=Inputs!$C$11+2,G47,"")</f>
        <v/>
      </c>
      <c r="V47" s="43" t="str">
        <f aca="false">IF(37&lt;=Inputs!$C$11+1,Inputs!$C$38,IF(37=Inputs!$C$11+2,0,""))</f>
        <v/>
      </c>
      <c r="W47" s="43" t="str">
        <f aca="false">IF(37&lt;=Inputs!$C$11+2,U47-S47,"")</f>
        <v/>
      </c>
      <c r="X47" s="47" t="str">
        <f aca="false">IF(37&lt;=Inputs!$C$11,IF(OR(Inputs!$C$23="",Inputs!$C$22=""),0,MAX(0,EDATE(Inputs!$C$10,37)-MAX(EDATE(Inputs!$C$10,36),Inputs!$C$23))),"")</f>
        <v/>
      </c>
    </row>
    <row r="48" customFormat="false" ht="15" hidden="false" customHeight="false" outlineLevel="0" collapsed="false">
      <c r="A48" s="39" t="str">
        <f aca="false">IF(38&lt;=Inputs!$C$11,38,"")</f>
        <v/>
      </c>
      <c r="B48" s="40" t="str">
        <f aca="false">IF(38&lt;=Inputs!$C$11,EDATE(Inputs!$C$10,38),IF(38&lt;=Inputs!$C$11+2,EDATE(Inputs!$C$10,Inputs!$C$11),""))</f>
        <v/>
      </c>
      <c r="C48" s="41" t="str">
        <f aca="false">IF(38&lt;=Inputs!$C$11,IF(AND(N(X48)&gt;0,N(X48)&lt;D48),"Interest (rate change)","Interest"),IF(38=Inputs!$C$11+1,"Exit fee ("&amp;TEXT(Inputs!$C$17,"0.00%")&amp;")",IF(38=Inputs!$C$11+2,"Redemption – principal repaid","")))</f>
        <v/>
      </c>
      <c r="D48" s="46" t="str">
        <f aca="false">IF(38&lt;=Inputs!$C$11,EDATE(Inputs!$C$10,38)-EDATE(Inputs!$C$10,37),"")</f>
        <v/>
      </c>
      <c r="E48" s="43" t="str">
        <f aca="false">IF(38&lt;=Inputs!$C$11+2,0,"")</f>
        <v/>
      </c>
      <c r="F48" s="43" t="str">
        <f aca="false">IF(38&lt;=Inputs!$C$11,Inputs!$C$14*(Inputs!$C$21*(D48-X48)+IF(Inputs!$C$22="",Inputs!$C$21,Inputs!$C$22)*X48)/365,IF(38&lt;=Inputs!$C$11+2,0,""))</f>
        <v/>
      </c>
      <c r="G48" s="43" t="str">
        <f aca="false">IF(38&lt;=Inputs!$C$11,IF(Inputs!$C$24="Serviced Monthly",F48,0),IF(38=Inputs!$C$11+1,Inputs!$D$17,IF(38=Inputs!$C$11+2,Inputs!$C$14,"")))</f>
        <v/>
      </c>
      <c r="H48" s="43" t="str">
        <f aca="false">IF(38&lt;=Inputs!$C$11+1,Inputs!$C$14,IF(38=Inputs!$C$11+2,0,""))</f>
        <v/>
      </c>
      <c r="I48" s="43" t="str">
        <f aca="false">IF(38&lt;=Inputs!$C$11+2,G48,"")</f>
        <v/>
      </c>
      <c r="K48" s="41" t="str">
        <f aca="false">IF(Inputs!$C$37=0,"",IF(38&lt;=Inputs!$C$11,"Senior interest",IF(38=Inputs!$C$11+1,"Senior exit fee ("&amp;TEXT(Inputs!$C$36,"0.00%")&amp;")",IF(38=Inputs!$C$11+2,"Senior loan repaid",""))))</f>
        <v/>
      </c>
      <c r="L48" s="43" t="str">
        <f aca="false">IF(38&lt;=Inputs!$C$11,M48,IF(38=Inputs!$C$11+1,Inputs!$D$36,IF(38=Inputs!$C$11+2,Inputs!$C$37,"")))</f>
        <v/>
      </c>
      <c r="M48" s="43" t="str">
        <f aca="false">IF(38&lt;=Inputs!$C$11,Inputs!$C$37*Inputs!$C$35*D48/365,IF(38&lt;=Inputs!$C$11+2,0,""))</f>
        <v/>
      </c>
      <c r="N48" s="43" t="str">
        <f aca="false">IF(38&lt;=Inputs!$C$11+2,0,"")</f>
        <v/>
      </c>
      <c r="O48" s="43" t="str">
        <f aca="false">IF(38&lt;=Inputs!$C$11+1,Inputs!$C$37,IF(38=Inputs!$C$11+2,0,""))</f>
        <v/>
      </c>
      <c r="P48" s="43" t="str">
        <f aca="false">IF(38&lt;=Inputs!$C$11+2,N48-L48,"")</f>
        <v/>
      </c>
      <c r="R48" s="41" t="str">
        <f aca="false">IF(38&lt;=Inputs!$C$11,"Net interest margin",IF(38=Inputs!$C$11+1,"Net exit fee",IF(38=Inputs!$C$11+2,"Redemption in / senior repaid","")))</f>
        <v/>
      </c>
      <c r="S48" s="43" t="str">
        <f aca="false">IF(38&lt;=Inputs!$C$11+2,L48,"")</f>
        <v/>
      </c>
      <c r="T48" s="43" t="str">
        <f aca="false">IF(38&lt;=Inputs!$C$11,F48-M48,IF(38&lt;=Inputs!$C$11+2,0,""))</f>
        <v/>
      </c>
      <c r="U48" s="43" t="str">
        <f aca="false">IF(38&lt;=Inputs!$C$11+2,G48,"")</f>
        <v/>
      </c>
      <c r="V48" s="43" t="str">
        <f aca="false">IF(38&lt;=Inputs!$C$11+1,Inputs!$C$38,IF(38=Inputs!$C$11+2,0,""))</f>
        <v/>
      </c>
      <c r="W48" s="43" t="str">
        <f aca="false">IF(38&lt;=Inputs!$C$11+2,U48-S48,"")</f>
        <v/>
      </c>
      <c r="X48" s="47" t="str">
        <f aca="false">IF(38&lt;=Inputs!$C$11,IF(OR(Inputs!$C$23="",Inputs!$C$22=""),0,MAX(0,EDATE(Inputs!$C$10,38)-MAX(EDATE(Inputs!$C$10,37),Inputs!$C$23))),"")</f>
        <v/>
      </c>
    </row>
    <row r="49" customFormat="false" ht="15" hidden="false" customHeight="false" outlineLevel="0" collapsed="false">
      <c r="A49" s="48"/>
      <c r="B49" s="49" t="s">
        <v>131</v>
      </c>
      <c r="C49" s="48"/>
      <c r="D49" s="48"/>
      <c r="E49" s="50" t="n">
        <f aca="false">SUM(E6:E48)</f>
        <v>3700000</v>
      </c>
      <c r="F49" s="50" t="n">
        <f aca="false">SUM(F6:F48)</f>
        <v>611336.301369863</v>
      </c>
      <c r="G49" s="50" t="n">
        <f aca="false">SUM(G6:G48)</f>
        <v>4385336.30136986</v>
      </c>
      <c r="H49" s="48"/>
      <c r="I49" s="50" t="n">
        <f aca="false">SUM(I6:I48)</f>
        <v>685336.301369863</v>
      </c>
      <c r="K49" s="48"/>
      <c r="L49" s="50" t="n">
        <f aca="false">SUM(L6:L48)</f>
        <v>3136225.17123288</v>
      </c>
      <c r="M49" s="50" t="n">
        <f aca="false">SUM(M6:M48)</f>
        <v>347350.171232877</v>
      </c>
      <c r="N49" s="50" t="n">
        <f aca="false">SUM(N6:N48)</f>
        <v>2775000</v>
      </c>
      <c r="O49" s="48"/>
      <c r="P49" s="50" t="n">
        <f aca="false">SUM(P6:P48)</f>
        <v>-361225.171232877</v>
      </c>
      <c r="R49" s="48"/>
      <c r="S49" s="50" t="n">
        <f aca="false">SUM(S6:S48)</f>
        <v>6836225.17123288</v>
      </c>
      <c r="T49" s="50" t="n">
        <f aca="false">SUM(T6:T48)</f>
        <v>263986.130136986</v>
      </c>
      <c r="U49" s="50" t="n">
        <f aca="false">SUM(U6:U48)</f>
        <v>7160336.30136986</v>
      </c>
      <c r="V49" s="48"/>
      <c r="W49" s="50" t="n">
        <f aca="false">SUM(W6:W48)</f>
        <v>324111.130136986</v>
      </c>
    </row>
    <row r="51" customFormat="false" ht="15" hidden="false" customHeight="false" outlineLevel="0" collapsed="false">
      <c r="C51" s="51" t="s">
        <v>132</v>
      </c>
      <c r="D51" s="52"/>
      <c r="E51" s="52"/>
      <c r="F51" s="53" t="n">
        <f aca="false">I49</f>
        <v>685336.301369863</v>
      </c>
    </row>
    <row r="52" customFormat="false" ht="15" hidden="false" customHeight="false" outlineLevel="0" collapsed="false">
      <c r="C52" s="51" t="s">
        <v>133</v>
      </c>
      <c r="D52" s="52"/>
      <c r="E52" s="52"/>
      <c r="F52" s="54" t="n">
        <f aca="false">XIRR(AA6:AA42,Z6:Z42)</f>
        <v>0.0965814104535055</v>
      </c>
    </row>
    <row r="53" customFormat="false" ht="15" hidden="false" customHeight="false" outlineLevel="0" collapsed="false">
      <c r="C53" s="51" t="s">
        <v>134</v>
      </c>
      <c r="D53" s="52"/>
      <c r="E53" s="52"/>
      <c r="F53" s="53" t="n">
        <f aca="false">-P49</f>
        <v>361225.171232877</v>
      </c>
    </row>
    <row r="54" customFormat="false" ht="15" hidden="false" customHeight="false" outlineLevel="0" collapsed="false">
      <c r="C54" s="51" t="s">
        <v>135</v>
      </c>
      <c r="D54" s="52"/>
      <c r="E54" s="52"/>
      <c r="F54" s="53" t="n">
        <f aca="false">W49</f>
        <v>324111.130136986</v>
      </c>
    </row>
    <row r="55" customFormat="false" ht="15" hidden="false" customHeight="false" outlineLevel="0" collapsed="false">
      <c r="C55" s="51" t="s">
        <v>136</v>
      </c>
      <c r="D55" s="52"/>
      <c r="E55" s="52"/>
      <c r="F55" s="54" t="n">
        <f aca="false">XIRR(AB6:AB42,Z6:Z42)</f>
        <v>0.188813541490083</v>
      </c>
    </row>
    <row r="56" customFormat="false" ht="15" hidden="false" customHeight="false" outlineLevel="0" collapsed="false">
      <c r="C56" s="51" t="s">
        <v>13</v>
      </c>
      <c r="D56" s="52"/>
      <c r="E56" s="52"/>
      <c r="F56" s="55" t="n">
        <f aca="false">IFERROR(1+W49/ABS(AB6),"n/a")</f>
        <v>1.35937478047067</v>
      </c>
    </row>
    <row r="58" customFormat="false" ht="15" hidden="false" customHeight="false" outlineLevel="0" collapsed="false">
      <c r="C58" s="16" t="s">
        <v>137</v>
      </c>
    </row>
    <row r="59" customFormat="false" ht="15" hidden="false" customHeight="false" outlineLevel="0" collapsed="false">
      <c r="C59" s="16" t="str">
        <f aca="false">"Ledger ties to calc engine: "&amp;IF(AND(ROUND(I49-SUM(AA6:AA42),2)=0,ROUND(W49-SUM(AB6:AB42),2)=0),"OK","MISMATCH – check")</f>
        <v>Ledger ties to calc engine: 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0036"/>
    <pageSetUpPr fitToPage="false"/>
  </sheetPr>
  <dimension ref="B2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5" min="3" style="0" width="15"/>
    <col collapsed="false" customWidth="true" hidden="false" outlineLevel="0" max="6" min="6" style="0" width="50"/>
  </cols>
  <sheetData>
    <row r="2" customFormat="false" ht="16.15" hidden="false" customHeight="false" outlineLevel="0" collapsed="false">
      <c r="B2" s="17" t="str">
        <f aca="false">Inputs!C6&amp;" – DEAL SUMMARY"</f>
        <v>Housing First Group – DEAL SUMMARY</v>
      </c>
    </row>
    <row r="3" customFormat="false" ht="15" hidden="false" customHeight="false" outlineLevel="0" collapsed="false">
      <c r="B3" s="31" t="str">
        <f aca="false">Inputs!C8&amp;" | "&amp;Inputs!C9&amp;" | "&amp;TEXT(Inputs!C11,"0")&amp;" months | Gross £"&amp;TEXT(Inputs!C14,"#,##0")</f>
        <v>Residential | Bridge | 24 months | Gross £3,700,000</v>
      </c>
    </row>
    <row r="5" customFormat="false" ht="15" hidden="false" customHeight="false" outlineLevel="0" collapsed="false">
      <c r="B5" s="19" t="s">
        <v>138</v>
      </c>
      <c r="C5" s="20"/>
      <c r="D5" s="20"/>
      <c r="E5" s="20"/>
      <c r="F5" s="20"/>
    </row>
    <row r="6" customFormat="false" ht="15" hidden="false" customHeight="false" outlineLevel="0" collapsed="false">
      <c r="B6" s="7" t="s">
        <v>139</v>
      </c>
      <c r="C6" s="29" t="n">
        <f aca="false">Cashflow!F51</f>
        <v>685336.301369863</v>
      </c>
      <c r="D6" s="22"/>
      <c r="E6" s="22"/>
      <c r="F6" s="22"/>
    </row>
    <row r="7" customFormat="false" ht="15" hidden="false" customHeight="false" outlineLevel="0" collapsed="false">
      <c r="B7" s="7" t="s">
        <v>140</v>
      </c>
      <c r="C7" s="30" t="n">
        <f aca="false">Cashflow!F52</f>
        <v>0.0965814104535055</v>
      </c>
      <c r="D7" s="22"/>
      <c r="E7" s="22"/>
      <c r="F7" s="22"/>
    </row>
    <row r="8" customFormat="false" ht="15" hidden="false" customHeight="false" outlineLevel="0" collapsed="false">
      <c r="B8" s="7" t="s">
        <v>141</v>
      </c>
      <c r="C8" s="29" t="n">
        <f aca="false">Cashflow!F53</f>
        <v>361225.171232877</v>
      </c>
      <c r="D8" s="22"/>
      <c r="E8" s="22"/>
      <c r="F8" s="22"/>
    </row>
    <row r="9" customFormat="false" ht="15" hidden="false" customHeight="false" outlineLevel="0" collapsed="false">
      <c r="B9" s="12" t="s">
        <v>11</v>
      </c>
      <c r="C9" s="56" t="n">
        <f aca="false">Cashflow!F54</f>
        <v>324111.130136986</v>
      </c>
      <c r="D9" s="22"/>
      <c r="E9" s="22"/>
      <c r="F9" s="22"/>
    </row>
    <row r="10" customFormat="false" ht="15" hidden="false" customHeight="false" outlineLevel="0" collapsed="false">
      <c r="B10" s="12" t="s">
        <v>136</v>
      </c>
      <c r="C10" s="57" t="n">
        <f aca="false">Cashflow!F55</f>
        <v>0.188813541490083</v>
      </c>
      <c r="D10" s="22"/>
      <c r="E10" s="22"/>
      <c r="F10" s="22"/>
    </row>
    <row r="11" customFormat="false" ht="15" hidden="false" customHeight="false" outlineLevel="0" collapsed="false">
      <c r="B11" s="7" t="s">
        <v>13</v>
      </c>
      <c r="C11" s="58" t="n">
        <f aca="false">Cashflow!F56</f>
        <v>1.35937478047067</v>
      </c>
      <c r="D11" s="22"/>
      <c r="E11" s="22"/>
      <c r="F11" s="22"/>
    </row>
    <row r="12" customFormat="false" ht="15" hidden="false" customHeight="false" outlineLevel="0" collapsed="false">
      <c r="B12" s="7" t="s">
        <v>142</v>
      </c>
      <c r="C12" s="29" t="n">
        <f aca="false">Inputs!C38</f>
        <v>925000</v>
      </c>
      <c r="D12" s="22"/>
      <c r="E12" s="22"/>
      <c r="F12" s="22"/>
    </row>
    <row r="13" customFormat="false" ht="15" hidden="false" customHeight="false" outlineLevel="0" collapsed="false">
      <c r="B13" s="7" t="s">
        <v>143</v>
      </c>
      <c r="C13" s="30" t="n">
        <f aca="false">IFERROR(C9/Inputs!C38,"n/a")</f>
        <v>0.350390410958904</v>
      </c>
      <c r="D13" s="22"/>
      <c r="E13" s="22"/>
      <c r="F13" s="22"/>
    </row>
    <row r="15" customFormat="false" ht="15" hidden="false" customHeight="false" outlineLevel="0" collapsed="false">
      <c r="B15" s="19" t="s">
        <v>144</v>
      </c>
      <c r="C15" s="20"/>
      <c r="D15" s="20"/>
      <c r="E15" s="20"/>
      <c r="F15" s="20"/>
    </row>
    <row r="16" customFormat="false" ht="15" hidden="false" customHeight="false" outlineLevel="0" collapsed="false">
      <c r="B16" s="59"/>
      <c r="C16" s="37" t="s">
        <v>145</v>
      </c>
      <c r="D16" s="37" t="s">
        <v>146</v>
      </c>
      <c r="E16" s="37" t="s">
        <v>147</v>
      </c>
      <c r="F16" s="59"/>
    </row>
    <row r="17" customFormat="false" ht="15" hidden="false" customHeight="false" outlineLevel="0" collapsed="false">
      <c r="B17" s="7" t="s">
        <v>148</v>
      </c>
      <c r="C17" s="29" t="n">
        <f aca="false">Inputs!D15</f>
        <v>37000</v>
      </c>
      <c r="D17" s="29" t="n">
        <f aca="false">Inputs!D32</f>
        <v>13875</v>
      </c>
      <c r="E17" s="29" t="n">
        <f aca="false">C17-D17</f>
        <v>23125</v>
      </c>
      <c r="F17" s="23" t="s">
        <v>149</v>
      </c>
    </row>
    <row r="18" customFormat="false" ht="15" hidden="false" customHeight="false" outlineLevel="0" collapsed="false">
      <c r="B18" s="7" t="s">
        <v>150</v>
      </c>
      <c r="C18" s="29" t="n">
        <f aca="false">Inputs!D16</f>
        <v>0</v>
      </c>
      <c r="D18" s="29" t="n">
        <v>0</v>
      </c>
      <c r="E18" s="29" t="n">
        <v>0</v>
      </c>
      <c r="F18" s="23" t="s">
        <v>151</v>
      </c>
    </row>
    <row r="19" customFormat="false" ht="15" hidden="false" customHeight="false" outlineLevel="0" collapsed="false">
      <c r="B19" s="7" t="s">
        <v>152</v>
      </c>
      <c r="C19" s="29" t="n">
        <f aca="false">Inputs!C18</f>
        <v>0</v>
      </c>
      <c r="D19" s="29" t="n">
        <v>0</v>
      </c>
      <c r="E19" s="29" t="n">
        <f aca="false">C19</f>
        <v>0</v>
      </c>
      <c r="F19" s="23" t="s">
        <v>153</v>
      </c>
    </row>
    <row r="20" customFormat="false" ht="15" hidden="false" customHeight="false" outlineLevel="0" collapsed="false">
      <c r="B20" s="7" t="s">
        <v>154</v>
      </c>
      <c r="C20" s="29" t="n">
        <f aca="false">Inputs!D17</f>
        <v>37000</v>
      </c>
      <c r="D20" s="29" t="n">
        <f aca="false">Inputs!D36</f>
        <v>0</v>
      </c>
      <c r="E20" s="29" t="n">
        <f aca="false">C20-D20</f>
        <v>37000</v>
      </c>
      <c r="F20" s="23" t="s">
        <v>155</v>
      </c>
    </row>
    <row r="21" customFormat="false" ht="15" hidden="false" customHeight="false" outlineLevel="0" collapsed="false">
      <c r="B21" s="60" t="s">
        <v>156</v>
      </c>
      <c r="C21" s="61" t="n">
        <f aca="false">SUM(C17:C20)</f>
        <v>74000</v>
      </c>
      <c r="D21" s="61" t="n">
        <f aca="false">SUM(D17:D20)</f>
        <v>13875</v>
      </c>
      <c r="E21" s="50" t="n">
        <f aca="false">SUM(E17:E20)</f>
        <v>60125</v>
      </c>
      <c r="F21" s="62" t="s">
        <v>157</v>
      </c>
    </row>
    <row r="23" customFormat="false" ht="15" hidden="false" customHeight="false" outlineLevel="0" collapsed="false">
      <c r="B23" s="19" t="s">
        <v>158</v>
      </c>
      <c r="C23" s="20"/>
      <c r="D23" s="20"/>
      <c r="E23" s="20"/>
      <c r="F23" s="20"/>
    </row>
    <row r="24" customFormat="false" ht="15" hidden="false" customHeight="false" outlineLevel="0" collapsed="false">
      <c r="B24" s="7" t="s">
        <v>159</v>
      </c>
      <c r="C24" s="30" t="n">
        <f aca="false">Inputs!C21</f>
        <v>0.0825</v>
      </c>
      <c r="D24" s="22"/>
      <c r="E24" s="22"/>
      <c r="F24" s="22"/>
    </row>
    <row r="25" customFormat="false" ht="15" hidden="false" customHeight="false" outlineLevel="0" collapsed="false">
      <c r="B25" s="7" t="s">
        <v>160</v>
      </c>
      <c r="C25" s="30" t="n">
        <f aca="false">Inputs!C35</f>
        <v>0.0625</v>
      </c>
      <c r="D25" s="22"/>
      <c r="E25" s="22"/>
      <c r="F25" s="22"/>
    </row>
    <row r="26" customFormat="false" ht="15" hidden="false" customHeight="false" outlineLevel="0" collapsed="false">
      <c r="B26" s="7" t="s">
        <v>161</v>
      </c>
      <c r="C26" s="30" t="n">
        <f aca="false">C24-C25</f>
        <v>0.02</v>
      </c>
      <c r="D26" s="22"/>
      <c r="E26" s="22"/>
      <c r="F26" s="23" t="s">
        <v>162</v>
      </c>
    </row>
    <row r="27" customFormat="false" ht="15" hidden="false" customHeight="false" outlineLevel="0" collapsed="false">
      <c r="B27" s="7" t="s">
        <v>163</v>
      </c>
      <c r="C27" s="30" t="n">
        <f aca="false">IFERROR(Inputs!C37/Inputs!C14,0)</f>
        <v>0.75</v>
      </c>
      <c r="D27" s="22"/>
      <c r="E27" s="22"/>
      <c r="F27" s="22"/>
    </row>
    <row r="28" customFormat="false" ht="15" hidden="false" customHeight="false" outlineLevel="0" collapsed="false">
      <c r="B28" s="7" t="s">
        <v>164</v>
      </c>
      <c r="C28" s="30" t="n">
        <f aca="false">IFERROR((Inputs!C14*Inputs!C21-Inputs!C37*Inputs!C35)/Inputs!C38,"n/a")</f>
        <v>0.1425</v>
      </c>
      <c r="D28" s="22"/>
      <c r="E28" s="22"/>
      <c r="F28" s="23" t="s">
        <v>165</v>
      </c>
    </row>
    <row r="30" customFormat="false" ht="15" hidden="false" customHeight="false" outlineLevel="0" collapsed="false">
      <c r="B30" s="19" t="s">
        <v>166</v>
      </c>
      <c r="C30" s="20"/>
      <c r="D30" s="20"/>
      <c r="E30" s="20"/>
      <c r="F30" s="20"/>
    </row>
    <row r="31" customFormat="false" ht="15" hidden="false" customHeight="false" outlineLevel="0" collapsed="false">
      <c r="B31" s="59"/>
      <c r="C31" s="37" t="s">
        <v>145</v>
      </c>
      <c r="D31" s="37" t="s">
        <v>146</v>
      </c>
      <c r="E31" s="59"/>
      <c r="F31" s="59"/>
    </row>
    <row r="32" customFormat="false" ht="15" hidden="false" customHeight="false" outlineLevel="0" collapsed="false">
      <c r="B32" s="7" t="s">
        <v>167</v>
      </c>
      <c r="C32" s="29" t="n">
        <f aca="false">Inputs!C14*(1+Inputs!C17)</f>
        <v>3737000</v>
      </c>
      <c r="D32" s="29" t="n">
        <f aca="false">Inputs!C37*(1+Inputs!C36)</f>
        <v>2775000</v>
      </c>
      <c r="E32" s="22"/>
      <c r="F32" s="23" t="s">
        <v>168</v>
      </c>
    </row>
    <row r="33" customFormat="false" ht="15" hidden="false" customHeight="false" outlineLevel="0" collapsed="false">
      <c r="B33" s="7" t="s">
        <v>169</v>
      </c>
      <c r="C33" s="30" t="n">
        <f aca="false">IFERROR(Inputs!C14/Inputs!C41,"n/a")</f>
        <v>0.59919028340081</v>
      </c>
      <c r="D33" s="30" t="n">
        <f aca="false">IFERROR(Inputs!C37/Inputs!C41,"n/a")</f>
        <v>0.449392712550607</v>
      </c>
      <c r="E33" s="22"/>
      <c r="F33" s="22"/>
    </row>
    <row r="34" customFormat="false" ht="15" hidden="false" customHeight="false" outlineLevel="0" collapsed="false">
      <c r="B34" s="7" t="s">
        <v>170</v>
      </c>
      <c r="C34" s="30" t="n">
        <f aca="false">IFERROR(C32/Inputs!C41,"n/a")</f>
        <v>0.605182186234818</v>
      </c>
      <c r="D34" s="30" t="n">
        <f aca="false">IFERROR(D32/Inputs!C41,"n/a")</f>
        <v>0.449392712550607</v>
      </c>
      <c r="E34" s="22"/>
      <c r="F34" s="22"/>
    </row>
    <row r="35" customFormat="false" ht="15" hidden="false" customHeight="false" outlineLevel="0" collapsed="false">
      <c r="B35" s="7" t="s">
        <v>171</v>
      </c>
      <c r="C35" s="30" t="n">
        <f aca="false">IFERROR(C32/Inputs!C42,"n/a")</f>
        <v>0.858094144661309</v>
      </c>
      <c r="D35" s="30" t="n">
        <f aca="false">IFERROR(D32/Inputs!C42,"n/a")</f>
        <v>0.637198622273249</v>
      </c>
      <c r="E35" s="22"/>
      <c r="F35" s="23" t="s">
        <v>172</v>
      </c>
    </row>
    <row r="36" customFormat="false" ht="15" hidden="false" customHeight="false" outlineLevel="0" collapsed="false">
      <c r="B36" s="7" t="s">
        <v>173</v>
      </c>
      <c r="C36" s="30" t="n">
        <f aca="false">IFERROR(Inputs!C14/Inputs!C43,"n/a")</f>
        <v>0.880952380952381</v>
      </c>
      <c r="D36" s="30" t="n">
        <f aca="false">IFERROR(Inputs!C37/Inputs!C43,"n/a")</f>
        <v>0.660714285714286</v>
      </c>
      <c r="E36" s="22"/>
      <c r="F36" s="22"/>
    </row>
    <row r="37" customFormat="false" ht="15" hidden="false" customHeight="false" outlineLevel="0" collapsed="false">
      <c r="B37" s="7" t="s">
        <v>174</v>
      </c>
      <c r="C37" s="29" t="str">
        <f aca="false">IF(Inputs!C44&gt;0,C32/Inputs!C44,"n/a")</f>
        <v>n/a</v>
      </c>
      <c r="D37" s="29" t="str">
        <f aca="false">IF(Inputs!C44&gt;0,D32/Inputs!C44,"n/a")</f>
        <v>n/a</v>
      </c>
      <c r="E37" s="22"/>
      <c r="F37" s="23" t="s">
        <v>175</v>
      </c>
    </row>
    <row r="38" customFormat="false" ht="15" hidden="false" customHeight="false" outlineLevel="0" collapsed="false">
      <c r="B38" s="7" t="s">
        <v>176</v>
      </c>
      <c r="C38" s="29" t="n">
        <f aca="false">IF(Inputs!C45&gt;0,C32/Inputs!C45,"n/a")</f>
        <v>233562.5</v>
      </c>
      <c r="D38" s="29" t="n">
        <f aca="false">IF(Inputs!C45&gt;0,D32/Inputs!C45,"n/a")</f>
        <v>173437.5</v>
      </c>
      <c r="E38" s="22"/>
      <c r="F38" s="23" t="s">
        <v>177</v>
      </c>
    </row>
    <row r="39" customFormat="false" ht="15" hidden="false" customHeight="false" outlineLevel="0" collapsed="false">
      <c r="B39" s="7" t="s">
        <v>178</v>
      </c>
      <c r="C39" s="29" t="str">
        <f aca="false">IF(Inputs!C46&gt;0,C32/Inputs!C46,"n/a")</f>
        <v>n/a</v>
      </c>
      <c r="D39" s="29" t="str">
        <f aca="false">IF(Inputs!C46&gt;0,D32/Inputs!C46,"n/a")</f>
        <v>n/a</v>
      </c>
      <c r="E39" s="22"/>
      <c r="F39" s="23" t="s">
        <v>179</v>
      </c>
    </row>
    <row r="40" customFormat="false" ht="15" hidden="false" customHeight="false" outlineLevel="0" collapsed="false">
      <c r="B40" s="7" t="s">
        <v>180</v>
      </c>
      <c r="C40" s="30" t="n">
        <f aca="false">IF(Inputs!C47&gt;0,Inputs!C47/Inputs!C14,"n/a")</f>
        <v>0.124716756756757</v>
      </c>
      <c r="D40" s="30" t="n">
        <f aca="false">IF(AND(Inputs!C47&gt;0,Inputs!C37&gt;0),Inputs!C47/Inputs!C37,"n/a")</f>
        <v>0.166289009009009</v>
      </c>
      <c r="E40" s="22"/>
      <c r="F40" s="23" t="s">
        <v>181</v>
      </c>
    </row>
    <row r="41" customFormat="false" ht="15" hidden="false" customHeight="false" outlineLevel="0" collapsed="false">
      <c r="B41" s="7" t="s">
        <v>182</v>
      </c>
      <c r="C41" s="30" t="n">
        <f aca="false">IFERROR(1-C32/Inputs!C41,"n/a")</f>
        <v>0.394817813765182</v>
      </c>
      <c r="D41" s="30" t="n">
        <f aca="false">IFERROR(1-D32/Inputs!C42,"n/a")</f>
        <v>0.362801377726751</v>
      </c>
      <c r="E41" s="22"/>
      <c r="F41" s="23" t="s">
        <v>183</v>
      </c>
    </row>
    <row r="44" customFormat="false" ht="15" hidden="false" customHeight="false" outlineLevel="0" collapsed="false">
      <c r="B44" s="15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0036"/>
    <pageSetUpPr fitToPage="true"/>
  </sheetPr>
  <dimension ref="B2:H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7" topLeftCell="B28" activePane="bottomRight" state="frozen"/>
      <selection pane="topLeft" activeCell="A1" activeCellId="0" sqref="A1"/>
      <selection pane="topRight" activeCell="B1" activeCellId="0" sqref="B1"/>
      <selection pane="bottomLeft" activeCell="A28" activeCellId="0" sqref="A2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7" min="6" style="0" width="15"/>
    <col collapsed="false" customWidth="true" hidden="false" outlineLevel="0" max="8" min="8" style="0" width="17"/>
  </cols>
  <sheetData>
    <row r="2" customFormat="false" ht="24" hidden="false" customHeight="true" outlineLevel="0" collapsed="false">
      <c r="C2" s="63" t="s">
        <v>26</v>
      </c>
      <c r="G2" s="64" t="s">
        <v>185</v>
      </c>
    </row>
    <row r="3" customFormat="false" ht="21.75" hidden="false" customHeight="true" outlineLevel="0" collapsed="false">
      <c r="C3" s="65" t="s">
        <v>186</v>
      </c>
    </row>
    <row r="5" customFormat="false" ht="15" hidden="false" customHeight="false" outlineLevel="0" collapsed="false">
      <c r="B5" s="14" t="s">
        <v>187</v>
      </c>
      <c r="C5" s="13" t="str">
        <f aca="false">TEXT(Inputs!C10,"dd/mm/yyyy")&amp;" to "&amp;TEXT(EDATE(Inputs!C10,Inputs!C11),"dd/mm/yyyy")</f>
        <v>01/08/2026 to 01/08/2028</v>
      </c>
      <c r="H5" s="66" t="s">
        <v>188</v>
      </c>
    </row>
    <row r="6" customFormat="false" ht="15" hidden="false" customHeight="false" outlineLevel="0" collapsed="false">
      <c r="B6" s="14" t="s">
        <v>189</v>
      </c>
      <c r="C6" s="13" t="str">
        <f aca="false">Inputs!C6&amp;" – "&amp;Inputs!C7</f>
        <v>Housing First Group – TBC</v>
      </c>
    </row>
    <row r="8" customFormat="false" ht="15" hidden="false" customHeight="false" outlineLevel="0" collapsed="false">
      <c r="B8" s="67" t="s">
        <v>190</v>
      </c>
      <c r="C8" s="20"/>
      <c r="D8" s="67" t="s">
        <v>191</v>
      </c>
      <c r="E8" s="20"/>
      <c r="F8" s="67" t="s">
        <v>192</v>
      </c>
      <c r="G8" s="20"/>
      <c r="H8" s="20"/>
    </row>
    <row r="9" customFormat="false" ht="15" hidden="false" customHeight="false" outlineLevel="0" collapsed="false">
      <c r="B9" s="68" t="s">
        <v>193</v>
      </c>
      <c r="C9" s="69" t="n">
        <v>46265</v>
      </c>
      <c r="D9" s="68" t="s">
        <v>194</v>
      </c>
      <c r="E9" s="70" t="n">
        <f aca="false">Inputs!C10</f>
        <v>46235</v>
      </c>
      <c r="F9" s="68" t="s">
        <v>195</v>
      </c>
      <c r="G9" s="71" t="s">
        <v>34</v>
      </c>
      <c r="H9" s="7"/>
    </row>
    <row r="10" customFormat="false" ht="15" hidden="false" customHeight="false" outlineLevel="0" collapsed="false">
      <c r="B10" s="68" t="s">
        <v>196</v>
      </c>
      <c r="C10" s="72" t="n">
        <v>1</v>
      </c>
      <c r="D10" s="68" t="s">
        <v>46</v>
      </c>
      <c r="E10" s="73" t="n">
        <f aca="false">Inputs!C14</f>
        <v>3700000</v>
      </c>
      <c r="F10" s="68" t="s">
        <v>197</v>
      </c>
      <c r="G10" s="71" t="s">
        <v>26</v>
      </c>
      <c r="H10" s="7"/>
    </row>
    <row r="11" customFormat="false" ht="15" hidden="false" customHeight="false" outlineLevel="0" collapsed="false">
      <c r="B11" s="68" t="s">
        <v>198</v>
      </c>
      <c r="C11" s="74" t="s">
        <v>34</v>
      </c>
      <c r="D11" s="68" t="s">
        <v>199</v>
      </c>
      <c r="E11" s="70" t="n">
        <f aca="false">EDATE(Inputs!C10,Inputs!C11)</f>
        <v>46966</v>
      </c>
      <c r="F11" s="68" t="s">
        <v>200</v>
      </c>
      <c r="G11" s="71" t="s">
        <v>34</v>
      </c>
      <c r="H11" s="7"/>
    </row>
    <row r="12" customFormat="false" ht="15" hidden="false" customHeight="false" outlineLevel="0" collapsed="false">
      <c r="B12" s="68" t="s">
        <v>201</v>
      </c>
      <c r="C12" s="74" t="s">
        <v>202</v>
      </c>
      <c r="D12" s="68" t="s">
        <v>9</v>
      </c>
      <c r="E12" s="75" t="str">
        <f aca="false">(EDATE(Inputs!C10,Inputs!C11)-Inputs!C10)&amp;" Days"</f>
        <v>731 Days</v>
      </c>
      <c r="F12" s="68" t="s">
        <v>203</v>
      </c>
      <c r="G12" s="71" t="s">
        <v>34</v>
      </c>
      <c r="H12" s="7"/>
    </row>
    <row r="13" customFormat="false" ht="15" hidden="false" customHeight="false" outlineLevel="0" collapsed="false">
      <c r="B13" s="68" t="s">
        <v>204</v>
      </c>
      <c r="C13" s="74" t="s">
        <v>34</v>
      </c>
      <c r="D13" s="68" t="s">
        <v>205</v>
      </c>
      <c r="E13" s="76" t="n">
        <f aca="false">Inputs!C21</f>
        <v>0.0825</v>
      </c>
      <c r="F13" s="68" t="s">
        <v>206</v>
      </c>
      <c r="G13" s="71" t="s">
        <v>34</v>
      </c>
      <c r="H13" s="7"/>
    </row>
    <row r="14" customFormat="false" ht="15" hidden="false" customHeight="false" outlineLevel="0" collapsed="false">
      <c r="D14" s="68" t="s">
        <v>207</v>
      </c>
      <c r="E14" s="75" t="str">
        <f aca="false">IF(Inputs!C22="","–",TEXT(Inputs!C22,"0.00%")&amp;" from "&amp;TEXT(Inputs!C23,"dd/mm/yyyy"))</f>
        <v>–</v>
      </c>
    </row>
    <row r="15" customFormat="false" ht="15" hidden="false" customHeight="false" outlineLevel="0" collapsed="false">
      <c r="D15" s="68" t="s">
        <v>208</v>
      </c>
      <c r="E15" s="73" t="n">
        <f aca="false">Inputs!D15</f>
        <v>37000</v>
      </c>
    </row>
    <row r="16" customFormat="false" ht="15" hidden="false" customHeight="false" outlineLevel="0" collapsed="false">
      <c r="D16" s="68" t="s">
        <v>209</v>
      </c>
      <c r="E16" s="73" t="n">
        <f aca="false">Inputs!D16</f>
        <v>0</v>
      </c>
    </row>
    <row r="17" customFormat="false" ht="15" hidden="false" customHeight="false" outlineLevel="0" collapsed="false">
      <c r="D17" s="68" t="s">
        <v>53</v>
      </c>
      <c r="E17" s="73" t="n">
        <f aca="false">Inputs!C18</f>
        <v>0</v>
      </c>
    </row>
    <row r="18" customFormat="false" ht="15" hidden="false" customHeight="false" outlineLevel="0" collapsed="false">
      <c r="D18" s="68" t="s">
        <v>210</v>
      </c>
      <c r="E18" s="73" t="n">
        <f aca="false">Inputs!D17</f>
        <v>37000</v>
      </c>
    </row>
    <row r="20" customFormat="false" ht="15" hidden="false" customHeight="false" outlineLevel="0" collapsed="false">
      <c r="B20" s="67" t="s">
        <v>211</v>
      </c>
      <c r="C20" s="20"/>
      <c r="D20" s="20"/>
      <c r="E20" s="20"/>
      <c r="F20" s="20"/>
      <c r="G20" s="20"/>
      <c r="H20" s="20"/>
    </row>
    <row r="21" customFormat="false" ht="15" hidden="false" customHeight="false" outlineLevel="0" collapsed="false">
      <c r="B21" s="68" t="s">
        <v>212</v>
      </c>
      <c r="C21" s="73" t="n">
        <f aca="false">Inputs!C14</f>
        <v>3700000</v>
      </c>
      <c r="D21" s="68" t="s">
        <v>213</v>
      </c>
      <c r="E21" s="73" t="n">
        <f aca="false">IF($C$9&gt;=EDATE(Inputs!C10,Inputs!C11),0,Inputs!C14)</f>
        <v>3700000</v>
      </c>
      <c r="F21" s="68" t="s">
        <v>214</v>
      </c>
      <c r="G21" s="77" t="n">
        <f aca="false">COUNTIF($H$28:$H$70,"Complete")</f>
        <v>5</v>
      </c>
      <c r="H21" s="7"/>
    </row>
    <row r="22" customFormat="false" ht="15" hidden="false" customHeight="false" outlineLevel="0" collapsed="false">
      <c r="B22" s="68" t="s">
        <v>215</v>
      </c>
      <c r="C22" s="73" t="n">
        <f aca="false">SUMIFS(Cashflow!$E$6:$E$48,Cashflow!$B$6:$B$48,"&lt;="&amp;$C$9)</f>
        <v>3700000</v>
      </c>
      <c r="D22" s="68" t="s">
        <v>216</v>
      </c>
      <c r="E22" s="73" t="n">
        <f aca="false">Inputs!D15+Inputs!D16+Inputs!C18+IF($C$9&gt;=EDATE(Inputs!C10,Inputs!C11),Inputs!D17,0)</f>
        <v>37000</v>
      </c>
      <c r="F22" s="68" t="s">
        <v>217</v>
      </c>
      <c r="G22" s="77" t="n">
        <f aca="false">COUNTIF($H$28:$H$70,"Forecast")</f>
        <v>26</v>
      </c>
      <c r="H22" s="7"/>
    </row>
    <row r="23" customFormat="false" ht="15" hidden="false" customHeight="false" outlineLevel="0" collapsed="false">
      <c r="B23" s="68" t="s">
        <v>218</v>
      </c>
      <c r="C23" s="73" t="n">
        <f aca="false">SUMIFS(Cashflow!$F$6:$F$48,Cashflow!$B$6:$B$48,"&lt;="&amp;$C$9)</f>
        <v>0</v>
      </c>
      <c r="D23" s="68" t="s">
        <v>219</v>
      </c>
      <c r="E23" s="73" t="n">
        <f aca="false">SUMIFS(Cashflow!$G$6:$G$48,Cashflow!$B$6:$B$48,"&lt;="&amp;$C$9)</f>
        <v>37000</v>
      </c>
    </row>
    <row r="24" customFormat="false" ht="15" hidden="false" customHeight="false" outlineLevel="0" collapsed="false">
      <c r="B24" s="68" t="s">
        <v>220</v>
      </c>
      <c r="C24" s="73" t="n">
        <f aca="false">Inputs!C26</f>
        <v>3663000</v>
      </c>
    </row>
    <row r="27" customFormat="false" ht="15" hidden="false" customHeight="false" outlineLevel="0" collapsed="false">
      <c r="B27" s="78" t="s">
        <v>109</v>
      </c>
      <c r="C27" s="79" t="s">
        <v>110</v>
      </c>
      <c r="D27" s="26" t="s">
        <v>221</v>
      </c>
      <c r="E27" s="26" t="s">
        <v>222</v>
      </c>
      <c r="F27" s="26" t="s">
        <v>223</v>
      </c>
      <c r="G27" s="26" t="s">
        <v>224</v>
      </c>
      <c r="H27" s="78" t="s">
        <v>225</v>
      </c>
    </row>
    <row r="28" customFormat="false" ht="15" hidden="false" customHeight="false" outlineLevel="0" collapsed="false">
      <c r="B28" s="80" t="n">
        <f aca="false">IF(Cashflow!$C6="","",Cashflow!$B6)</f>
        <v>46235</v>
      </c>
      <c r="C28" s="81" t="str">
        <f aca="false">IF(Cashflow!$C6="","",Cashflow!$C6)</f>
        <v>Drawdown – gross loan advanced</v>
      </c>
      <c r="D28" s="82" t="n">
        <f aca="false">IF(Cashflow!$C6="","",Cashflow!$E6)</f>
        <v>3700000</v>
      </c>
      <c r="E28" s="82" t="n">
        <f aca="false">IF(Cashflow!$C6="","",Cashflow!$F6)</f>
        <v>0</v>
      </c>
      <c r="F28" s="82" t="n">
        <f aca="false">IF(Cashflow!$C6="","",Cashflow!$G6)</f>
        <v>0</v>
      </c>
      <c r="G28" s="82" t="n">
        <f aca="false">IF(Cashflow!$C6="","",Cashflow!$H6)</f>
        <v>3700000</v>
      </c>
      <c r="H28" s="83" t="str">
        <f aca="false">IF($B28="","",IF($B28&lt;=$C$9,"Complete","Forecast"))</f>
        <v>Complete</v>
      </c>
    </row>
    <row r="29" customFormat="false" ht="15" hidden="false" customHeight="false" outlineLevel="0" collapsed="false">
      <c r="B29" s="80" t="n">
        <f aca="false">IF(Cashflow!$C7="","",Cashflow!$B7)</f>
        <v>46235</v>
      </c>
      <c r="C29" s="81" t="str">
        <f aca="false">IF(Cashflow!$C7="","",Cashflow!$C7)</f>
        <v>Arrangement fee (1.00%) – deducted at source</v>
      </c>
      <c r="D29" s="82" t="n">
        <f aca="false">IF(Cashflow!$C7="","",Cashflow!$E7)</f>
        <v>0</v>
      </c>
      <c r="E29" s="82" t="n">
        <f aca="false">IF(Cashflow!$C7="","",Cashflow!$F7)</f>
        <v>0</v>
      </c>
      <c r="F29" s="82" t="n">
        <f aca="false">IF(Cashflow!$C7="","",Cashflow!$G7)</f>
        <v>37000</v>
      </c>
      <c r="G29" s="82" t="n">
        <f aca="false">IF(Cashflow!$C7="","",Cashflow!$H7)</f>
        <v>3700000</v>
      </c>
      <c r="H29" s="83" t="str">
        <f aca="false">IF($B29="","",IF($B29&lt;=$C$9,"Complete","Forecast"))</f>
        <v>Complete</v>
      </c>
    </row>
    <row r="30" customFormat="false" ht="15" hidden="false" customHeight="false" outlineLevel="0" collapsed="false">
      <c r="B30" s="80" t="n">
        <f aca="false">IF(Cashflow!$C8="","",Cashflow!$B8)</f>
        <v>46235</v>
      </c>
      <c r="C30" s="81" t="str">
        <f aca="false">IF(Cashflow!$C8="","",Cashflow!$C8)</f>
        <v>Broker fee (0.00%) – paid away to broker</v>
      </c>
      <c r="D30" s="82" t="n">
        <f aca="false">IF(Cashflow!$C8="","",Cashflow!$E8)</f>
        <v>0</v>
      </c>
      <c r="E30" s="82" t="n">
        <f aca="false">IF(Cashflow!$C8="","",Cashflow!$F8)</f>
        <v>0</v>
      </c>
      <c r="F30" s="82" t="n">
        <f aca="false">IF(Cashflow!$C8="","",Cashflow!$G8)</f>
        <v>0</v>
      </c>
      <c r="G30" s="82" t="n">
        <f aca="false">IF(Cashflow!$C8="","",Cashflow!$H8)</f>
        <v>3700000</v>
      </c>
      <c r="H30" s="83" t="str">
        <f aca="false">IF($B30="","",IF($B30&lt;=$C$9,"Complete","Forecast"))</f>
        <v>Complete</v>
      </c>
    </row>
    <row r="31" customFormat="false" ht="15" hidden="false" customHeight="false" outlineLevel="0" collapsed="false">
      <c r="B31" s="80" t="n">
        <f aca="false">IF(Cashflow!$C9="","",Cashflow!$B9)</f>
        <v>46235</v>
      </c>
      <c r="C31" s="81" t="str">
        <f aca="false">IF(Cashflow!$C9="","",Cashflow!$C9)</f>
        <v>Admin / other fee – deducted at source</v>
      </c>
      <c r="D31" s="82" t="n">
        <f aca="false">IF(Cashflow!$C9="","",Cashflow!$E9)</f>
        <v>0</v>
      </c>
      <c r="E31" s="82" t="n">
        <f aca="false">IF(Cashflow!$C9="","",Cashflow!$F9)</f>
        <v>0</v>
      </c>
      <c r="F31" s="82" t="n">
        <f aca="false">IF(Cashflow!$C9="","",Cashflow!$G9)</f>
        <v>0</v>
      </c>
      <c r="G31" s="82" t="n">
        <f aca="false">IF(Cashflow!$C9="","",Cashflow!$H9)</f>
        <v>3700000</v>
      </c>
      <c r="H31" s="83" t="str">
        <f aca="false">IF($B31="","",IF($B31&lt;=$C$9,"Complete","Forecast"))</f>
        <v>Complete</v>
      </c>
    </row>
    <row r="32" customFormat="false" ht="15" hidden="false" customHeight="false" outlineLevel="0" collapsed="false">
      <c r="B32" s="80" t="n">
        <f aca="false">IF(Cashflow!$C10="","",Cashflow!$B10)</f>
        <v>46235</v>
      </c>
      <c r="C32" s="81" t="str">
        <f aca="false">IF(Cashflow!$C10="","",Cashflow!$C10)</f>
        <v>Interest reserve retained</v>
      </c>
      <c r="D32" s="82" t="n">
        <f aca="false">IF(Cashflow!$C10="","",Cashflow!$E10)</f>
        <v>0</v>
      </c>
      <c r="E32" s="82" t="n">
        <f aca="false">IF(Cashflow!$C10="","",Cashflow!$F10)</f>
        <v>0</v>
      </c>
      <c r="F32" s="82" t="n">
        <f aca="false">IF(Cashflow!$C10="","",Cashflow!$G10)</f>
        <v>0</v>
      </c>
      <c r="G32" s="82" t="n">
        <f aca="false">IF(Cashflow!$C10="","",Cashflow!$H10)</f>
        <v>3700000</v>
      </c>
      <c r="H32" s="83" t="str">
        <f aca="false">IF($B32="","",IF($B32&lt;=$C$9,"Complete","Forecast"))</f>
        <v>Complete</v>
      </c>
    </row>
    <row r="33" customFormat="false" ht="15" hidden="false" customHeight="false" outlineLevel="0" collapsed="false">
      <c r="B33" s="80" t="n">
        <f aca="false">IF(Cashflow!$C11="","",Cashflow!$B11)</f>
        <v>46266</v>
      </c>
      <c r="C33" s="81" t="str">
        <f aca="false">IF(Cashflow!$C11="","",Cashflow!$C11)</f>
        <v>Interest</v>
      </c>
      <c r="D33" s="82" t="n">
        <f aca="false">IF(Cashflow!$C11="","",Cashflow!$E11)</f>
        <v>0</v>
      </c>
      <c r="E33" s="82" t="n">
        <f aca="false">IF(Cashflow!$C11="","",Cashflow!$F11)</f>
        <v>25925.3424657534</v>
      </c>
      <c r="F33" s="82" t="n">
        <f aca="false">IF(Cashflow!$C11="","",Cashflow!$G11)</f>
        <v>25925.3424657534</v>
      </c>
      <c r="G33" s="82" t="n">
        <f aca="false">IF(Cashflow!$C11="","",Cashflow!$H11)</f>
        <v>3700000</v>
      </c>
      <c r="H33" s="83" t="str">
        <f aca="false">IF($B33="","",IF($B33&lt;=$C$9,"Complete","Forecast"))</f>
        <v>Forecast</v>
      </c>
    </row>
    <row r="34" customFormat="false" ht="15" hidden="false" customHeight="false" outlineLevel="0" collapsed="false">
      <c r="B34" s="80" t="n">
        <f aca="false">IF(Cashflow!$C12="","",Cashflow!$B12)</f>
        <v>46296</v>
      </c>
      <c r="C34" s="81" t="str">
        <f aca="false">IF(Cashflow!$C12="","",Cashflow!$C12)</f>
        <v>Interest</v>
      </c>
      <c r="D34" s="82" t="n">
        <f aca="false">IF(Cashflow!$C12="","",Cashflow!$E12)</f>
        <v>0</v>
      </c>
      <c r="E34" s="82" t="n">
        <f aca="false">IF(Cashflow!$C12="","",Cashflow!$F12)</f>
        <v>25089.0410958904</v>
      </c>
      <c r="F34" s="82" t="n">
        <f aca="false">IF(Cashflow!$C12="","",Cashflow!$G12)</f>
        <v>25089.0410958904</v>
      </c>
      <c r="G34" s="82" t="n">
        <f aca="false">IF(Cashflow!$C12="","",Cashflow!$H12)</f>
        <v>3700000</v>
      </c>
      <c r="H34" s="83" t="str">
        <f aca="false">IF($B34="","",IF($B34&lt;=$C$9,"Complete","Forecast"))</f>
        <v>Forecast</v>
      </c>
    </row>
    <row r="35" customFormat="false" ht="15" hidden="false" customHeight="false" outlineLevel="0" collapsed="false">
      <c r="B35" s="80" t="n">
        <f aca="false">IF(Cashflow!$C13="","",Cashflow!$B13)</f>
        <v>46327</v>
      </c>
      <c r="C35" s="81" t="str">
        <f aca="false">IF(Cashflow!$C13="","",Cashflow!$C13)</f>
        <v>Interest</v>
      </c>
      <c r="D35" s="82" t="n">
        <f aca="false">IF(Cashflow!$C13="","",Cashflow!$E13)</f>
        <v>0</v>
      </c>
      <c r="E35" s="82" t="n">
        <f aca="false">IF(Cashflow!$C13="","",Cashflow!$F13)</f>
        <v>25925.3424657534</v>
      </c>
      <c r="F35" s="82" t="n">
        <f aca="false">IF(Cashflow!$C13="","",Cashflow!$G13)</f>
        <v>25925.3424657534</v>
      </c>
      <c r="G35" s="82" t="n">
        <f aca="false">IF(Cashflow!$C13="","",Cashflow!$H13)</f>
        <v>3700000</v>
      </c>
      <c r="H35" s="83" t="str">
        <f aca="false">IF($B35="","",IF($B35&lt;=$C$9,"Complete","Forecast"))</f>
        <v>Forecast</v>
      </c>
    </row>
    <row r="36" customFormat="false" ht="15" hidden="false" customHeight="false" outlineLevel="0" collapsed="false">
      <c r="B36" s="80" t="n">
        <f aca="false">IF(Cashflow!$C14="","",Cashflow!$B14)</f>
        <v>46357</v>
      </c>
      <c r="C36" s="81" t="str">
        <f aca="false">IF(Cashflow!$C14="","",Cashflow!$C14)</f>
        <v>Interest</v>
      </c>
      <c r="D36" s="82" t="n">
        <f aca="false">IF(Cashflow!$C14="","",Cashflow!$E14)</f>
        <v>0</v>
      </c>
      <c r="E36" s="82" t="n">
        <f aca="false">IF(Cashflow!$C14="","",Cashflow!$F14)</f>
        <v>25089.0410958904</v>
      </c>
      <c r="F36" s="82" t="n">
        <f aca="false">IF(Cashflow!$C14="","",Cashflow!$G14)</f>
        <v>25089.0410958904</v>
      </c>
      <c r="G36" s="82" t="n">
        <f aca="false">IF(Cashflow!$C14="","",Cashflow!$H14)</f>
        <v>3700000</v>
      </c>
      <c r="H36" s="83" t="str">
        <f aca="false">IF($B36="","",IF($B36&lt;=$C$9,"Complete","Forecast"))</f>
        <v>Forecast</v>
      </c>
    </row>
    <row r="37" customFormat="false" ht="15" hidden="false" customHeight="false" outlineLevel="0" collapsed="false">
      <c r="B37" s="80" t="n">
        <f aca="false">IF(Cashflow!$C15="","",Cashflow!$B15)</f>
        <v>46388</v>
      </c>
      <c r="C37" s="81" t="str">
        <f aca="false">IF(Cashflow!$C15="","",Cashflow!$C15)</f>
        <v>Interest</v>
      </c>
      <c r="D37" s="82" t="n">
        <f aca="false">IF(Cashflow!$C15="","",Cashflow!$E15)</f>
        <v>0</v>
      </c>
      <c r="E37" s="82" t="n">
        <f aca="false">IF(Cashflow!$C15="","",Cashflow!$F15)</f>
        <v>25925.3424657534</v>
      </c>
      <c r="F37" s="82" t="n">
        <f aca="false">IF(Cashflow!$C15="","",Cashflow!$G15)</f>
        <v>25925.3424657534</v>
      </c>
      <c r="G37" s="82" t="n">
        <f aca="false">IF(Cashflow!$C15="","",Cashflow!$H15)</f>
        <v>3700000</v>
      </c>
      <c r="H37" s="83" t="str">
        <f aca="false">IF($B37="","",IF($B37&lt;=$C$9,"Complete","Forecast"))</f>
        <v>Forecast</v>
      </c>
    </row>
    <row r="38" customFormat="false" ht="15" hidden="false" customHeight="false" outlineLevel="0" collapsed="false">
      <c r="B38" s="80" t="n">
        <f aca="false">IF(Cashflow!$C16="","",Cashflow!$B16)</f>
        <v>46419</v>
      </c>
      <c r="C38" s="81" t="str">
        <f aca="false">IF(Cashflow!$C16="","",Cashflow!$C16)</f>
        <v>Interest</v>
      </c>
      <c r="D38" s="82" t="n">
        <f aca="false">IF(Cashflow!$C16="","",Cashflow!$E16)</f>
        <v>0</v>
      </c>
      <c r="E38" s="82" t="n">
        <f aca="false">IF(Cashflow!$C16="","",Cashflow!$F16)</f>
        <v>25925.3424657534</v>
      </c>
      <c r="F38" s="82" t="n">
        <f aca="false">IF(Cashflow!$C16="","",Cashflow!$G16)</f>
        <v>25925.3424657534</v>
      </c>
      <c r="G38" s="82" t="n">
        <f aca="false">IF(Cashflow!$C16="","",Cashflow!$H16)</f>
        <v>3700000</v>
      </c>
      <c r="H38" s="83" t="str">
        <f aca="false">IF($B38="","",IF($B38&lt;=$C$9,"Complete","Forecast"))</f>
        <v>Forecast</v>
      </c>
    </row>
    <row r="39" customFormat="false" ht="15" hidden="false" customHeight="false" outlineLevel="0" collapsed="false">
      <c r="B39" s="80" t="n">
        <f aca="false">IF(Cashflow!$C17="","",Cashflow!$B17)</f>
        <v>46447</v>
      </c>
      <c r="C39" s="81" t="str">
        <f aca="false">IF(Cashflow!$C17="","",Cashflow!$C17)</f>
        <v>Interest</v>
      </c>
      <c r="D39" s="82" t="n">
        <f aca="false">IF(Cashflow!$C17="","",Cashflow!$E17)</f>
        <v>0</v>
      </c>
      <c r="E39" s="82" t="n">
        <f aca="false">IF(Cashflow!$C17="","",Cashflow!$F17)</f>
        <v>23416.4383561644</v>
      </c>
      <c r="F39" s="82" t="n">
        <f aca="false">IF(Cashflow!$C17="","",Cashflow!$G17)</f>
        <v>23416.4383561644</v>
      </c>
      <c r="G39" s="82" t="n">
        <f aca="false">IF(Cashflow!$C17="","",Cashflow!$H17)</f>
        <v>3700000</v>
      </c>
      <c r="H39" s="83" t="str">
        <f aca="false">IF($B39="","",IF($B39&lt;=$C$9,"Complete","Forecast"))</f>
        <v>Forecast</v>
      </c>
    </row>
    <row r="40" customFormat="false" ht="15" hidden="false" customHeight="false" outlineLevel="0" collapsed="false">
      <c r="B40" s="80" t="n">
        <f aca="false">IF(Cashflow!$C18="","",Cashflow!$B18)</f>
        <v>46478</v>
      </c>
      <c r="C40" s="81" t="str">
        <f aca="false">IF(Cashflow!$C18="","",Cashflow!$C18)</f>
        <v>Interest</v>
      </c>
      <c r="D40" s="82" t="n">
        <f aca="false">IF(Cashflow!$C18="","",Cashflow!$E18)</f>
        <v>0</v>
      </c>
      <c r="E40" s="82" t="n">
        <f aca="false">IF(Cashflow!$C18="","",Cashflow!$F18)</f>
        <v>25925.3424657534</v>
      </c>
      <c r="F40" s="82" t="n">
        <f aca="false">IF(Cashflow!$C18="","",Cashflow!$G18)</f>
        <v>25925.3424657534</v>
      </c>
      <c r="G40" s="82" t="n">
        <f aca="false">IF(Cashflow!$C18="","",Cashflow!$H18)</f>
        <v>3700000</v>
      </c>
      <c r="H40" s="83" t="str">
        <f aca="false">IF($B40="","",IF($B40&lt;=$C$9,"Complete","Forecast"))</f>
        <v>Forecast</v>
      </c>
    </row>
    <row r="41" customFormat="false" ht="15" hidden="false" customHeight="false" outlineLevel="0" collapsed="false">
      <c r="B41" s="80" t="n">
        <f aca="false">IF(Cashflow!$C19="","",Cashflow!$B19)</f>
        <v>46508</v>
      </c>
      <c r="C41" s="81" t="str">
        <f aca="false">IF(Cashflow!$C19="","",Cashflow!$C19)</f>
        <v>Interest</v>
      </c>
      <c r="D41" s="82" t="n">
        <f aca="false">IF(Cashflow!$C19="","",Cashflow!$E19)</f>
        <v>0</v>
      </c>
      <c r="E41" s="82" t="n">
        <f aca="false">IF(Cashflow!$C19="","",Cashflow!$F19)</f>
        <v>25089.0410958904</v>
      </c>
      <c r="F41" s="82" t="n">
        <f aca="false">IF(Cashflow!$C19="","",Cashflow!$G19)</f>
        <v>25089.0410958904</v>
      </c>
      <c r="G41" s="82" t="n">
        <f aca="false">IF(Cashflow!$C19="","",Cashflow!$H19)</f>
        <v>3700000</v>
      </c>
      <c r="H41" s="83" t="str">
        <f aca="false">IF($B41="","",IF($B41&lt;=$C$9,"Complete","Forecast"))</f>
        <v>Forecast</v>
      </c>
    </row>
    <row r="42" customFormat="false" ht="15" hidden="false" customHeight="false" outlineLevel="0" collapsed="false">
      <c r="B42" s="80" t="n">
        <f aca="false">IF(Cashflow!$C20="","",Cashflow!$B20)</f>
        <v>46539</v>
      </c>
      <c r="C42" s="81" t="str">
        <f aca="false">IF(Cashflow!$C20="","",Cashflow!$C20)</f>
        <v>Interest</v>
      </c>
      <c r="D42" s="82" t="n">
        <f aca="false">IF(Cashflow!$C20="","",Cashflow!$E20)</f>
        <v>0</v>
      </c>
      <c r="E42" s="82" t="n">
        <f aca="false">IF(Cashflow!$C20="","",Cashflow!$F20)</f>
        <v>25925.3424657534</v>
      </c>
      <c r="F42" s="82" t="n">
        <f aca="false">IF(Cashflow!$C20="","",Cashflow!$G20)</f>
        <v>25925.3424657534</v>
      </c>
      <c r="G42" s="82" t="n">
        <f aca="false">IF(Cashflow!$C20="","",Cashflow!$H20)</f>
        <v>3700000</v>
      </c>
      <c r="H42" s="83" t="str">
        <f aca="false">IF($B42="","",IF($B42&lt;=$C$9,"Complete","Forecast"))</f>
        <v>Forecast</v>
      </c>
    </row>
    <row r="43" customFormat="false" ht="15" hidden="false" customHeight="false" outlineLevel="0" collapsed="false">
      <c r="B43" s="80" t="n">
        <f aca="false">IF(Cashflow!$C21="","",Cashflow!$B21)</f>
        <v>46569</v>
      </c>
      <c r="C43" s="81" t="str">
        <f aca="false">IF(Cashflow!$C21="","",Cashflow!$C21)</f>
        <v>Interest</v>
      </c>
      <c r="D43" s="82" t="n">
        <f aca="false">IF(Cashflow!$C21="","",Cashflow!$E21)</f>
        <v>0</v>
      </c>
      <c r="E43" s="82" t="n">
        <f aca="false">IF(Cashflow!$C21="","",Cashflow!$F21)</f>
        <v>25089.0410958904</v>
      </c>
      <c r="F43" s="82" t="n">
        <f aca="false">IF(Cashflow!$C21="","",Cashflow!$G21)</f>
        <v>25089.0410958904</v>
      </c>
      <c r="G43" s="82" t="n">
        <f aca="false">IF(Cashflow!$C21="","",Cashflow!$H21)</f>
        <v>3700000</v>
      </c>
      <c r="H43" s="83" t="str">
        <f aca="false">IF($B43="","",IF($B43&lt;=$C$9,"Complete","Forecast"))</f>
        <v>Forecast</v>
      </c>
    </row>
    <row r="44" customFormat="false" ht="15" hidden="false" customHeight="false" outlineLevel="0" collapsed="false">
      <c r="B44" s="80" t="n">
        <f aca="false">IF(Cashflow!$C22="","",Cashflow!$B22)</f>
        <v>46600</v>
      </c>
      <c r="C44" s="81" t="str">
        <f aca="false">IF(Cashflow!$C22="","",Cashflow!$C22)</f>
        <v>Interest</v>
      </c>
      <c r="D44" s="82" t="n">
        <f aca="false">IF(Cashflow!$C22="","",Cashflow!$E22)</f>
        <v>0</v>
      </c>
      <c r="E44" s="82" t="n">
        <f aca="false">IF(Cashflow!$C22="","",Cashflow!$F22)</f>
        <v>25925.3424657534</v>
      </c>
      <c r="F44" s="82" t="n">
        <f aca="false">IF(Cashflow!$C22="","",Cashflow!$G22)</f>
        <v>25925.3424657534</v>
      </c>
      <c r="G44" s="82" t="n">
        <f aca="false">IF(Cashflow!$C22="","",Cashflow!$H22)</f>
        <v>3700000</v>
      </c>
      <c r="H44" s="83" t="str">
        <f aca="false">IF($B44="","",IF($B44&lt;=$C$9,"Complete","Forecast"))</f>
        <v>Forecast</v>
      </c>
    </row>
    <row r="45" customFormat="false" ht="15" hidden="false" customHeight="false" outlineLevel="0" collapsed="false">
      <c r="B45" s="80" t="n">
        <f aca="false">IF(Cashflow!$C23="","",Cashflow!$B23)</f>
        <v>46631</v>
      </c>
      <c r="C45" s="81" t="str">
        <f aca="false">IF(Cashflow!$C23="","",Cashflow!$C23)</f>
        <v>Interest</v>
      </c>
      <c r="D45" s="82" t="n">
        <f aca="false">IF(Cashflow!$C23="","",Cashflow!$E23)</f>
        <v>0</v>
      </c>
      <c r="E45" s="82" t="n">
        <f aca="false">IF(Cashflow!$C23="","",Cashflow!$F23)</f>
        <v>25925.3424657534</v>
      </c>
      <c r="F45" s="82" t="n">
        <f aca="false">IF(Cashflow!$C23="","",Cashflow!$G23)</f>
        <v>25925.3424657534</v>
      </c>
      <c r="G45" s="82" t="n">
        <f aca="false">IF(Cashflow!$C23="","",Cashflow!$H23)</f>
        <v>3700000</v>
      </c>
      <c r="H45" s="83" t="str">
        <f aca="false">IF($B45="","",IF($B45&lt;=$C$9,"Complete","Forecast"))</f>
        <v>Forecast</v>
      </c>
    </row>
    <row r="46" customFormat="false" ht="15" hidden="false" customHeight="false" outlineLevel="0" collapsed="false">
      <c r="B46" s="80" t="n">
        <f aca="false">IF(Cashflow!$C24="","",Cashflow!$B24)</f>
        <v>46661</v>
      </c>
      <c r="C46" s="81" t="str">
        <f aca="false">IF(Cashflow!$C24="","",Cashflow!$C24)</f>
        <v>Interest</v>
      </c>
      <c r="D46" s="82" t="n">
        <f aca="false">IF(Cashflow!$C24="","",Cashflow!$E24)</f>
        <v>0</v>
      </c>
      <c r="E46" s="82" t="n">
        <f aca="false">IF(Cashflow!$C24="","",Cashflow!$F24)</f>
        <v>25089.0410958904</v>
      </c>
      <c r="F46" s="82" t="n">
        <f aca="false">IF(Cashflow!$C24="","",Cashflow!$G24)</f>
        <v>25089.0410958904</v>
      </c>
      <c r="G46" s="82" t="n">
        <f aca="false">IF(Cashflow!$C24="","",Cashflow!$H24)</f>
        <v>3700000</v>
      </c>
      <c r="H46" s="83" t="str">
        <f aca="false">IF($B46="","",IF($B46&lt;=$C$9,"Complete","Forecast"))</f>
        <v>Forecast</v>
      </c>
    </row>
    <row r="47" customFormat="false" ht="15" hidden="false" customHeight="false" outlineLevel="0" collapsed="false">
      <c r="B47" s="80" t="n">
        <f aca="false">IF(Cashflow!$C25="","",Cashflow!$B25)</f>
        <v>46692</v>
      </c>
      <c r="C47" s="81" t="str">
        <f aca="false">IF(Cashflow!$C25="","",Cashflow!$C25)</f>
        <v>Interest</v>
      </c>
      <c r="D47" s="82" t="n">
        <f aca="false">IF(Cashflow!$C25="","",Cashflow!$E25)</f>
        <v>0</v>
      </c>
      <c r="E47" s="82" t="n">
        <f aca="false">IF(Cashflow!$C25="","",Cashflow!$F25)</f>
        <v>25925.3424657534</v>
      </c>
      <c r="F47" s="82" t="n">
        <f aca="false">IF(Cashflow!$C25="","",Cashflow!$G25)</f>
        <v>25925.3424657534</v>
      </c>
      <c r="G47" s="82" t="n">
        <f aca="false">IF(Cashflow!$C25="","",Cashflow!$H25)</f>
        <v>3700000</v>
      </c>
      <c r="H47" s="83" t="str">
        <f aca="false">IF($B47="","",IF($B47&lt;=$C$9,"Complete","Forecast"))</f>
        <v>Forecast</v>
      </c>
    </row>
    <row r="48" customFormat="false" ht="15" hidden="false" customHeight="false" outlineLevel="0" collapsed="false">
      <c r="B48" s="80" t="n">
        <f aca="false">IF(Cashflow!$C26="","",Cashflow!$B26)</f>
        <v>46722</v>
      </c>
      <c r="C48" s="81" t="str">
        <f aca="false">IF(Cashflow!$C26="","",Cashflow!$C26)</f>
        <v>Interest</v>
      </c>
      <c r="D48" s="82" t="n">
        <f aca="false">IF(Cashflow!$C26="","",Cashflow!$E26)</f>
        <v>0</v>
      </c>
      <c r="E48" s="82" t="n">
        <f aca="false">IF(Cashflow!$C26="","",Cashflow!$F26)</f>
        <v>25089.0410958904</v>
      </c>
      <c r="F48" s="82" t="n">
        <f aca="false">IF(Cashflow!$C26="","",Cashflow!$G26)</f>
        <v>25089.0410958904</v>
      </c>
      <c r="G48" s="82" t="n">
        <f aca="false">IF(Cashflow!$C26="","",Cashflow!$H26)</f>
        <v>3700000</v>
      </c>
      <c r="H48" s="83" t="str">
        <f aca="false">IF($B48="","",IF($B48&lt;=$C$9,"Complete","Forecast"))</f>
        <v>Forecast</v>
      </c>
    </row>
    <row r="49" customFormat="false" ht="15" hidden="false" customHeight="false" outlineLevel="0" collapsed="false">
      <c r="B49" s="80" t="n">
        <f aca="false">IF(Cashflow!$C27="","",Cashflow!$B27)</f>
        <v>46753</v>
      </c>
      <c r="C49" s="81" t="str">
        <f aca="false">IF(Cashflow!$C27="","",Cashflow!$C27)</f>
        <v>Interest</v>
      </c>
      <c r="D49" s="82" t="n">
        <f aca="false">IF(Cashflow!$C27="","",Cashflow!$E27)</f>
        <v>0</v>
      </c>
      <c r="E49" s="82" t="n">
        <f aca="false">IF(Cashflow!$C27="","",Cashflow!$F27)</f>
        <v>25925.3424657534</v>
      </c>
      <c r="F49" s="82" t="n">
        <f aca="false">IF(Cashflow!$C27="","",Cashflow!$G27)</f>
        <v>25925.3424657534</v>
      </c>
      <c r="G49" s="82" t="n">
        <f aca="false">IF(Cashflow!$C27="","",Cashflow!$H27)</f>
        <v>3700000</v>
      </c>
      <c r="H49" s="83" t="str">
        <f aca="false">IF($B49="","",IF($B49&lt;=$C$9,"Complete","Forecast"))</f>
        <v>Forecast</v>
      </c>
    </row>
    <row r="50" customFormat="false" ht="15" hidden="false" customHeight="false" outlineLevel="0" collapsed="false">
      <c r="B50" s="80" t="n">
        <f aca="false">IF(Cashflow!$C28="","",Cashflow!$B28)</f>
        <v>46784</v>
      </c>
      <c r="C50" s="81" t="str">
        <f aca="false">IF(Cashflow!$C28="","",Cashflow!$C28)</f>
        <v>Interest</v>
      </c>
      <c r="D50" s="82" t="n">
        <f aca="false">IF(Cashflow!$C28="","",Cashflow!$E28)</f>
        <v>0</v>
      </c>
      <c r="E50" s="82" t="n">
        <f aca="false">IF(Cashflow!$C28="","",Cashflow!$F28)</f>
        <v>25925.3424657534</v>
      </c>
      <c r="F50" s="82" t="n">
        <f aca="false">IF(Cashflow!$C28="","",Cashflow!$G28)</f>
        <v>25925.3424657534</v>
      </c>
      <c r="G50" s="82" t="n">
        <f aca="false">IF(Cashflow!$C28="","",Cashflow!$H28)</f>
        <v>3700000</v>
      </c>
      <c r="H50" s="83" t="str">
        <f aca="false">IF($B50="","",IF($B50&lt;=$C$9,"Complete","Forecast"))</f>
        <v>Forecast</v>
      </c>
    </row>
    <row r="51" customFormat="false" ht="15" hidden="false" customHeight="false" outlineLevel="0" collapsed="false">
      <c r="B51" s="80" t="n">
        <f aca="false">IF(Cashflow!$C29="","",Cashflow!$B29)</f>
        <v>46813</v>
      </c>
      <c r="C51" s="81" t="str">
        <f aca="false">IF(Cashflow!$C29="","",Cashflow!$C29)</f>
        <v>Interest</v>
      </c>
      <c r="D51" s="82" t="n">
        <f aca="false">IF(Cashflow!$C29="","",Cashflow!$E29)</f>
        <v>0</v>
      </c>
      <c r="E51" s="82" t="n">
        <f aca="false">IF(Cashflow!$C29="","",Cashflow!$F29)</f>
        <v>24252.7397260274</v>
      </c>
      <c r="F51" s="82" t="n">
        <f aca="false">IF(Cashflow!$C29="","",Cashflow!$G29)</f>
        <v>24252.7397260274</v>
      </c>
      <c r="G51" s="82" t="n">
        <f aca="false">IF(Cashflow!$C29="","",Cashflow!$H29)</f>
        <v>3700000</v>
      </c>
      <c r="H51" s="83" t="str">
        <f aca="false">IF($B51="","",IF($B51&lt;=$C$9,"Complete","Forecast"))</f>
        <v>Forecast</v>
      </c>
    </row>
    <row r="52" customFormat="false" ht="15" hidden="false" customHeight="false" outlineLevel="0" collapsed="false">
      <c r="B52" s="80" t="n">
        <f aca="false">IF(Cashflow!$C30="","",Cashflow!$B30)</f>
        <v>46844</v>
      </c>
      <c r="C52" s="81" t="str">
        <f aca="false">IF(Cashflow!$C30="","",Cashflow!$C30)</f>
        <v>Interest</v>
      </c>
      <c r="D52" s="82" t="n">
        <f aca="false">IF(Cashflow!$C30="","",Cashflow!$E30)</f>
        <v>0</v>
      </c>
      <c r="E52" s="82" t="n">
        <f aca="false">IF(Cashflow!$C30="","",Cashflow!$F30)</f>
        <v>25925.3424657534</v>
      </c>
      <c r="F52" s="82" t="n">
        <f aca="false">IF(Cashflow!$C30="","",Cashflow!$G30)</f>
        <v>25925.3424657534</v>
      </c>
      <c r="G52" s="82" t="n">
        <f aca="false">IF(Cashflow!$C30="","",Cashflow!$H30)</f>
        <v>3700000</v>
      </c>
      <c r="H52" s="83" t="str">
        <f aca="false">IF($B52="","",IF($B52&lt;=$C$9,"Complete","Forecast"))</f>
        <v>Forecast</v>
      </c>
    </row>
    <row r="53" customFormat="false" ht="15" hidden="false" customHeight="false" outlineLevel="0" collapsed="false">
      <c r="B53" s="80" t="n">
        <f aca="false">IF(Cashflow!$C31="","",Cashflow!$B31)</f>
        <v>46874</v>
      </c>
      <c r="C53" s="81" t="str">
        <f aca="false">IF(Cashflow!$C31="","",Cashflow!$C31)</f>
        <v>Interest</v>
      </c>
      <c r="D53" s="82" t="n">
        <f aca="false">IF(Cashflow!$C31="","",Cashflow!$E31)</f>
        <v>0</v>
      </c>
      <c r="E53" s="82" t="n">
        <f aca="false">IF(Cashflow!$C31="","",Cashflow!$F31)</f>
        <v>25089.0410958904</v>
      </c>
      <c r="F53" s="82" t="n">
        <f aca="false">IF(Cashflow!$C31="","",Cashflow!$G31)</f>
        <v>25089.0410958904</v>
      </c>
      <c r="G53" s="82" t="n">
        <f aca="false">IF(Cashflow!$C31="","",Cashflow!$H31)</f>
        <v>3700000</v>
      </c>
      <c r="H53" s="83" t="str">
        <f aca="false">IF($B53="","",IF($B53&lt;=$C$9,"Complete","Forecast"))</f>
        <v>Forecast</v>
      </c>
    </row>
    <row r="54" customFormat="false" ht="15" hidden="false" customHeight="false" outlineLevel="0" collapsed="false">
      <c r="B54" s="80" t="n">
        <f aca="false">IF(Cashflow!$C32="","",Cashflow!$B32)</f>
        <v>46905</v>
      </c>
      <c r="C54" s="81" t="str">
        <f aca="false">IF(Cashflow!$C32="","",Cashflow!$C32)</f>
        <v>Interest</v>
      </c>
      <c r="D54" s="82" t="n">
        <f aca="false">IF(Cashflow!$C32="","",Cashflow!$E32)</f>
        <v>0</v>
      </c>
      <c r="E54" s="82" t="n">
        <f aca="false">IF(Cashflow!$C32="","",Cashflow!$F32)</f>
        <v>25925.3424657534</v>
      </c>
      <c r="F54" s="82" t="n">
        <f aca="false">IF(Cashflow!$C32="","",Cashflow!$G32)</f>
        <v>25925.3424657534</v>
      </c>
      <c r="G54" s="82" t="n">
        <f aca="false">IF(Cashflow!$C32="","",Cashflow!$H32)</f>
        <v>3700000</v>
      </c>
      <c r="H54" s="83" t="str">
        <f aca="false">IF($B54="","",IF($B54&lt;=$C$9,"Complete","Forecast"))</f>
        <v>Forecast</v>
      </c>
    </row>
    <row r="55" customFormat="false" ht="15" hidden="false" customHeight="false" outlineLevel="0" collapsed="false">
      <c r="B55" s="80" t="n">
        <f aca="false">IF(Cashflow!$C33="","",Cashflow!$B33)</f>
        <v>46935</v>
      </c>
      <c r="C55" s="81" t="str">
        <f aca="false">IF(Cashflow!$C33="","",Cashflow!$C33)</f>
        <v>Interest</v>
      </c>
      <c r="D55" s="82" t="n">
        <f aca="false">IF(Cashflow!$C33="","",Cashflow!$E33)</f>
        <v>0</v>
      </c>
      <c r="E55" s="82" t="n">
        <f aca="false">IF(Cashflow!$C33="","",Cashflow!$F33)</f>
        <v>25089.0410958904</v>
      </c>
      <c r="F55" s="82" t="n">
        <f aca="false">IF(Cashflow!$C33="","",Cashflow!$G33)</f>
        <v>25089.0410958904</v>
      </c>
      <c r="G55" s="82" t="n">
        <f aca="false">IF(Cashflow!$C33="","",Cashflow!$H33)</f>
        <v>3700000</v>
      </c>
      <c r="H55" s="83" t="str">
        <f aca="false">IF($B55="","",IF($B55&lt;=$C$9,"Complete","Forecast"))</f>
        <v>Forecast</v>
      </c>
    </row>
    <row r="56" customFormat="false" ht="15" hidden="false" customHeight="false" outlineLevel="0" collapsed="false">
      <c r="B56" s="80" t="n">
        <f aca="false">IF(Cashflow!$C34="","",Cashflow!$B34)</f>
        <v>46966</v>
      </c>
      <c r="C56" s="81" t="str">
        <f aca="false">IF(Cashflow!$C34="","",Cashflow!$C34)</f>
        <v>Interest</v>
      </c>
      <c r="D56" s="82" t="n">
        <f aca="false">IF(Cashflow!$C34="","",Cashflow!$E34)</f>
        <v>0</v>
      </c>
      <c r="E56" s="82" t="n">
        <f aca="false">IF(Cashflow!$C34="","",Cashflow!$F34)</f>
        <v>25925.3424657534</v>
      </c>
      <c r="F56" s="82" t="n">
        <f aca="false">IF(Cashflow!$C34="","",Cashflow!$G34)</f>
        <v>25925.3424657534</v>
      </c>
      <c r="G56" s="82" t="n">
        <f aca="false">IF(Cashflow!$C34="","",Cashflow!$H34)</f>
        <v>3700000</v>
      </c>
      <c r="H56" s="83" t="str">
        <f aca="false">IF($B56="","",IF($B56&lt;=$C$9,"Complete","Forecast"))</f>
        <v>Forecast</v>
      </c>
    </row>
    <row r="57" customFormat="false" ht="15" hidden="false" customHeight="false" outlineLevel="0" collapsed="false">
      <c r="B57" s="80" t="n">
        <f aca="false">IF(Cashflow!$C35="","",Cashflow!$B35)</f>
        <v>46966</v>
      </c>
      <c r="C57" s="81" t="str">
        <f aca="false">IF(Cashflow!$C35="","",Cashflow!$C35)</f>
        <v>Exit fee (1.00%)</v>
      </c>
      <c r="D57" s="82" t="n">
        <f aca="false">IF(Cashflow!$C35="","",Cashflow!$E35)</f>
        <v>0</v>
      </c>
      <c r="E57" s="82" t="n">
        <f aca="false">IF(Cashflow!$C35="","",Cashflow!$F35)</f>
        <v>0</v>
      </c>
      <c r="F57" s="82" t="n">
        <f aca="false">IF(Cashflow!$C35="","",Cashflow!$G35)</f>
        <v>37000</v>
      </c>
      <c r="G57" s="82" t="n">
        <f aca="false">IF(Cashflow!$C35="","",Cashflow!$H35)</f>
        <v>3700000</v>
      </c>
      <c r="H57" s="83" t="str">
        <f aca="false">IF($B57="","",IF($B57&lt;=$C$9,"Complete","Forecast"))</f>
        <v>Forecast</v>
      </c>
    </row>
    <row r="58" customFormat="false" ht="15" hidden="false" customHeight="false" outlineLevel="0" collapsed="false">
      <c r="B58" s="80" t="n">
        <f aca="false">IF(Cashflow!$C36="","",Cashflow!$B36)</f>
        <v>46966</v>
      </c>
      <c r="C58" s="81" t="str">
        <f aca="false">IF(Cashflow!$C36="","",Cashflow!$C36)</f>
        <v>Redemption – principal repaid</v>
      </c>
      <c r="D58" s="82" t="n">
        <f aca="false">IF(Cashflow!$C36="","",Cashflow!$E36)</f>
        <v>0</v>
      </c>
      <c r="E58" s="82" t="n">
        <f aca="false">IF(Cashflow!$C36="","",Cashflow!$F36)</f>
        <v>0</v>
      </c>
      <c r="F58" s="82" t="n">
        <f aca="false">IF(Cashflow!$C36="","",Cashflow!$G36)</f>
        <v>3700000</v>
      </c>
      <c r="G58" s="82" t="n">
        <f aca="false">IF(Cashflow!$C36="","",Cashflow!$H36)</f>
        <v>0</v>
      </c>
      <c r="H58" s="83" t="str">
        <f aca="false">IF($B58="","",IF($B58&lt;=$C$9,"Complete","Forecast"))</f>
        <v>Forecast</v>
      </c>
    </row>
    <row r="59" customFormat="false" ht="15" hidden="false" customHeight="false" outlineLevel="0" collapsed="false">
      <c r="B59" s="80" t="str">
        <f aca="false">IF(Cashflow!$C37="","",Cashflow!$B37)</f>
        <v/>
      </c>
      <c r="C59" s="81" t="str">
        <f aca="false">IF(Cashflow!$C37="","",Cashflow!$C37)</f>
        <v/>
      </c>
      <c r="D59" s="82" t="str">
        <f aca="false">IF(Cashflow!$C37="","",Cashflow!$E37)</f>
        <v/>
      </c>
      <c r="E59" s="82" t="str">
        <f aca="false">IF(Cashflow!$C37="","",Cashflow!$F37)</f>
        <v/>
      </c>
      <c r="F59" s="82" t="str">
        <f aca="false">IF(Cashflow!$C37="","",Cashflow!$G37)</f>
        <v/>
      </c>
      <c r="G59" s="82" t="str">
        <f aca="false">IF(Cashflow!$C37="","",Cashflow!$H37)</f>
        <v/>
      </c>
      <c r="H59" s="83" t="str">
        <f aca="false">IF($B59="","",IF($B59&lt;=$C$9,"Complete","Forecast"))</f>
        <v/>
      </c>
    </row>
    <row r="60" customFormat="false" ht="15" hidden="false" customHeight="false" outlineLevel="0" collapsed="false">
      <c r="B60" s="80" t="str">
        <f aca="false">IF(Cashflow!$C38="","",Cashflow!$B38)</f>
        <v/>
      </c>
      <c r="C60" s="81" t="str">
        <f aca="false">IF(Cashflow!$C38="","",Cashflow!$C38)</f>
        <v/>
      </c>
      <c r="D60" s="82" t="str">
        <f aca="false">IF(Cashflow!$C38="","",Cashflow!$E38)</f>
        <v/>
      </c>
      <c r="E60" s="82" t="str">
        <f aca="false">IF(Cashflow!$C38="","",Cashflow!$F38)</f>
        <v/>
      </c>
      <c r="F60" s="82" t="str">
        <f aca="false">IF(Cashflow!$C38="","",Cashflow!$G38)</f>
        <v/>
      </c>
      <c r="G60" s="82" t="str">
        <f aca="false">IF(Cashflow!$C38="","",Cashflow!$H38)</f>
        <v/>
      </c>
      <c r="H60" s="83" t="str">
        <f aca="false">IF($B60="","",IF($B60&lt;=$C$9,"Complete","Forecast"))</f>
        <v/>
      </c>
    </row>
    <row r="61" customFormat="false" ht="15" hidden="false" customHeight="false" outlineLevel="0" collapsed="false">
      <c r="B61" s="80" t="str">
        <f aca="false">IF(Cashflow!$C39="","",Cashflow!$B39)</f>
        <v/>
      </c>
      <c r="C61" s="81" t="str">
        <f aca="false">IF(Cashflow!$C39="","",Cashflow!$C39)</f>
        <v/>
      </c>
      <c r="D61" s="82" t="str">
        <f aca="false">IF(Cashflow!$C39="","",Cashflow!$E39)</f>
        <v/>
      </c>
      <c r="E61" s="82" t="str">
        <f aca="false">IF(Cashflow!$C39="","",Cashflow!$F39)</f>
        <v/>
      </c>
      <c r="F61" s="82" t="str">
        <f aca="false">IF(Cashflow!$C39="","",Cashflow!$G39)</f>
        <v/>
      </c>
      <c r="G61" s="82" t="str">
        <f aca="false">IF(Cashflow!$C39="","",Cashflow!$H39)</f>
        <v/>
      </c>
      <c r="H61" s="83" t="str">
        <f aca="false">IF($B61="","",IF($B61&lt;=$C$9,"Complete","Forecast"))</f>
        <v/>
      </c>
    </row>
    <row r="62" customFormat="false" ht="15" hidden="false" customHeight="false" outlineLevel="0" collapsed="false">
      <c r="B62" s="80" t="str">
        <f aca="false">IF(Cashflow!$C40="","",Cashflow!$B40)</f>
        <v/>
      </c>
      <c r="C62" s="81" t="str">
        <f aca="false">IF(Cashflow!$C40="","",Cashflow!$C40)</f>
        <v/>
      </c>
      <c r="D62" s="82" t="str">
        <f aca="false">IF(Cashflow!$C40="","",Cashflow!$E40)</f>
        <v/>
      </c>
      <c r="E62" s="82" t="str">
        <f aca="false">IF(Cashflow!$C40="","",Cashflow!$F40)</f>
        <v/>
      </c>
      <c r="F62" s="82" t="str">
        <f aca="false">IF(Cashflow!$C40="","",Cashflow!$G40)</f>
        <v/>
      </c>
      <c r="G62" s="82" t="str">
        <f aca="false">IF(Cashflow!$C40="","",Cashflow!$H40)</f>
        <v/>
      </c>
      <c r="H62" s="83" t="str">
        <f aca="false">IF($B62="","",IF($B62&lt;=$C$9,"Complete","Forecast"))</f>
        <v/>
      </c>
    </row>
    <row r="63" customFormat="false" ht="15" hidden="false" customHeight="false" outlineLevel="0" collapsed="false">
      <c r="B63" s="80" t="str">
        <f aca="false">IF(Cashflow!$C41="","",Cashflow!$B41)</f>
        <v/>
      </c>
      <c r="C63" s="81" t="str">
        <f aca="false">IF(Cashflow!$C41="","",Cashflow!$C41)</f>
        <v/>
      </c>
      <c r="D63" s="82" t="str">
        <f aca="false">IF(Cashflow!$C41="","",Cashflow!$E41)</f>
        <v/>
      </c>
      <c r="E63" s="82" t="str">
        <f aca="false">IF(Cashflow!$C41="","",Cashflow!$F41)</f>
        <v/>
      </c>
      <c r="F63" s="82" t="str">
        <f aca="false">IF(Cashflow!$C41="","",Cashflow!$G41)</f>
        <v/>
      </c>
      <c r="G63" s="82" t="str">
        <f aca="false">IF(Cashflow!$C41="","",Cashflow!$H41)</f>
        <v/>
      </c>
      <c r="H63" s="83" t="str">
        <f aca="false">IF($B63="","",IF($B63&lt;=$C$9,"Complete","Forecast"))</f>
        <v/>
      </c>
    </row>
    <row r="64" customFormat="false" ht="15" hidden="false" customHeight="false" outlineLevel="0" collapsed="false">
      <c r="B64" s="80" t="str">
        <f aca="false">IF(Cashflow!$C42="","",Cashflow!$B42)</f>
        <v/>
      </c>
      <c r="C64" s="81" t="str">
        <f aca="false">IF(Cashflow!$C42="","",Cashflow!$C42)</f>
        <v/>
      </c>
      <c r="D64" s="82" t="str">
        <f aca="false">IF(Cashflow!$C42="","",Cashflow!$E42)</f>
        <v/>
      </c>
      <c r="E64" s="82" t="str">
        <f aca="false">IF(Cashflow!$C42="","",Cashflow!$F42)</f>
        <v/>
      </c>
      <c r="F64" s="82" t="str">
        <f aca="false">IF(Cashflow!$C42="","",Cashflow!$G42)</f>
        <v/>
      </c>
      <c r="G64" s="82" t="str">
        <f aca="false">IF(Cashflow!$C42="","",Cashflow!$H42)</f>
        <v/>
      </c>
      <c r="H64" s="83" t="str">
        <f aca="false">IF($B64="","",IF($B64&lt;=$C$9,"Complete","Forecast"))</f>
        <v/>
      </c>
    </row>
    <row r="65" customFormat="false" ht="15" hidden="false" customHeight="false" outlineLevel="0" collapsed="false">
      <c r="B65" s="80" t="str">
        <f aca="false">IF(Cashflow!$C43="","",Cashflow!$B43)</f>
        <v/>
      </c>
      <c r="C65" s="81" t="str">
        <f aca="false">IF(Cashflow!$C43="","",Cashflow!$C43)</f>
        <v/>
      </c>
      <c r="D65" s="82" t="str">
        <f aca="false">IF(Cashflow!$C43="","",Cashflow!$E43)</f>
        <v/>
      </c>
      <c r="E65" s="82" t="str">
        <f aca="false">IF(Cashflow!$C43="","",Cashflow!$F43)</f>
        <v/>
      </c>
      <c r="F65" s="82" t="str">
        <f aca="false">IF(Cashflow!$C43="","",Cashflow!$G43)</f>
        <v/>
      </c>
      <c r="G65" s="82" t="str">
        <f aca="false">IF(Cashflow!$C43="","",Cashflow!$H43)</f>
        <v/>
      </c>
      <c r="H65" s="83" t="str">
        <f aca="false">IF($B65="","",IF($B65&lt;=$C$9,"Complete","Forecast"))</f>
        <v/>
      </c>
    </row>
    <row r="66" customFormat="false" ht="15" hidden="false" customHeight="false" outlineLevel="0" collapsed="false">
      <c r="B66" s="80" t="str">
        <f aca="false">IF(Cashflow!$C44="","",Cashflow!$B44)</f>
        <v/>
      </c>
      <c r="C66" s="81" t="str">
        <f aca="false">IF(Cashflow!$C44="","",Cashflow!$C44)</f>
        <v/>
      </c>
      <c r="D66" s="82" t="str">
        <f aca="false">IF(Cashflow!$C44="","",Cashflow!$E44)</f>
        <v/>
      </c>
      <c r="E66" s="82" t="str">
        <f aca="false">IF(Cashflow!$C44="","",Cashflow!$F44)</f>
        <v/>
      </c>
      <c r="F66" s="82" t="str">
        <f aca="false">IF(Cashflow!$C44="","",Cashflow!$G44)</f>
        <v/>
      </c>
      <c r="G66" s="82" t="str">
        <f aca="false">IF(Cashflow!$C44="","",Cashflow!$H44)</f>
        <v/>
      </c>
      <c r="H66" s="83" t="str">
        <f aca="false">IF($B66="","",IF($B66&lt;=$C$9,"Complete","Forecast"))</f>
        <v/>
      </c>
    </row>
    <row r="67" customFormat="false" ht="15" hidden="false" customHeight="false" outlineLevel="0" collapsed="false">
      <c r="B67" s="80" t="str">
        <f aca="false">IF(Cashflow!$C45="","",Cashflow!$B45)</f>
        <v/>
      </c>
      <c r="C67" s="81" t="str">
        <f aca="false">IF(Cashflow!$C45="","",Cashflow!$C45)</f>
        <v/>
      </c>
      <c r="D67" s="82" t="str">
        <f aca="false">IF(Cashflow!$C45="","",Cashflow!$E45)</f>
        <v/>
      </c>
      <c r="E67" s="82" t="str">
        <f aca="false">IF(Cashflow!$C45="","",Cashflow!$F45)</f>
        <v/>
      </c>
      <c r="F67" s="82" t="str">
        <f aca="false">IF(Cashflow!$C45="","",Cashflow!$G45)</f>
        <v/>
      </c>
      <c r="G67" s="82" t="str">
        <f aca="false">IF(Cashflow!$C45="","",Cashflow!$H45)</f>
        <v/>
      </c>
      <c r="H67" s="83" t="str">
        <f aca="false">IF($B67="","",IF($B67&lt;=$C$9,"Complete","Forecast"))</f>
        <v/>
      </c>
    </row>
    <row r="68" customFormat="false" ht="15" hidden="false" customHeight="false" outlineLevel="0" collapsed="false">
      <c r="B68" s="80" t="str">
        <f aca="false">IF(Cashflow!$C46="","",Cashflow!$B46)</f>
        <v/>
      </c>
      <c r="C68" s="81" t="str">
        <f aca="false">IF(Cashflow!$C46="","",Cashflow!$C46)</f>
        <v/>
      </c>
      <c r="D68" s="82" t="str">
        <f aca="false">IF(Cashflow!$C46="","",Cashflow!$E46)</f>
        <v/>
      </c>
      <c r="E68" s="82" t="str">
        <f aca="false">IF(Cashflow!$C46="","",Cashflow!$F46)</f>
        <v/>
      </c>
      <c r="F68" s="82" t="str">
        <f aca="false">IF(Cashflow!$C46="","",Cashflow!$G46)</f>
        <v/>
      </c>
      <c r="G68" s="82" t="str">
        <f aca="false">IF(Cashflow!$C46="","",Cashflow!$H46)</f>
        <v/>
      </c>
      <c r="H68" s="83" t="str">
        <f aca="false">IF($B68="","",IF($B68&lt;=$C$9,"Complete","Forecast"))</f>
        <v/>
      </c>
    </row>
    <row r="69" customFormat="false" ht="15" hidden="false" customHeight="false" outlineLevel="0" collapsed="false">
      <c r="B69" s="80" t="str">
        <f aca="false">IF(Cashflow!$C47="","",Cashflow!$B47)</f>
        <v/>
      </c>
      <c r="C69" s="81" t="str">
        <f aca="false">IF(Cashflow!$C47="","",Cashflow!$C47)</f>
        <v/>
      </c>
      <c r="D69" s="82" t="str">
        <f aca="false">IF(Cashflow!$C47="","",Cashflow!$E47)</f>
        <v/>
      </c>
      <c r="E69" s="82" t="str">
        <f aca="false">IF(Cashflow!$C47="","",Cashflow!$F47)</f>
        <v/>
      </c>
      <c r="F69" s="82" t="str">
        <f aca="false">IF(Cashflow!$C47="","",Cashflow!$G47)</f>
        <v/>
      </c>
      <c r="G69" s="82" t="str">
        <f aca="false">IF(Cashflow!$C47="","",Cashflow!$H47)</f>
        <v/>
      </c>
      <c r="H69" s="83" t="str">
        <f aca="false">IF($B69="","",IF($B69&lt;=$C$9,"Complete","Forecast"))</f>
        <v/>
      </c>
    </row>
    <row r="70" customFormat="false" ht="15" hidden="false" customHeight="false" outlineLevel="0" collapsed="false">
      <c r="B70" s="80" t="str">
        <f aca="false">IF(Cashflow!$C48="","",Cashflow!$B48)</f>
        <v/>
      </c>
      <c r="C70" s="81" t="str">
        <f aca="false">IF(Cashflow!$C48="","",Cashflow!$C48)</f>
        <v/>
      </c>
      <c r="D70" s="82" t="str">
        <f aca="false">IF(Cashflow!$C48="","",Cashflow!$E48)</f>
        <v/>
      </c>
      <c r="E70" s="82" t="str">
        <f aca="false">IF(Cashflow!$C48="","",Cashflow!$F48)</f>
        <v/>
      </c>
      <c r="F70" s="82" t="str">
        <f aca="false">IF(Cashflow!$C48="","",Cashflow!$G48)</f>
        <v/>
      </c>
      <c r="G70" s="82" t="str">
        <f aca="false">IF(Cashflow!$C48="","",Cashflow!$H48)</f>
        <v/>
      </c>
      <c r="H70" s="83" t="str">
        <f aca="false">IF($B70="","",IF($B70&lt;=$C$9,"Complete","Forecast"))</f>
        <v/>
      </c>
    </row>
    <row r="71" customFormat="false" ht="15" hidden="false" customHeight="false" outlineLevel="0" collapsed="false">
      <c r="B71" s="84" t="s">
        <v>131</v>
      </c>
      <c r="C71" s="48"/>
      <c r="D71" s="85" t="n">
        <f aca="false">SUM(D28:D70)</f>
        <v>3700000</v>
      </c>
      <c r="E71" s="85" t="n">
        <f aca="false">SUM(E28:E70)</f>
        <v>611336.301369863</v>
      </c>
      <c r="F71" s="85" t="n">
        <f aca="false">SUM(F28:F70)</f>
        <v>4385336.30136986</v>
      </c>
      <c r="G71" s="48"/>
      <c r="H71" s="48"/>
    </row>
    <row r="74" customFormat="false" ht="15" hidden="false" customHeight="false" outlineLevel="0" collapsed="false">
      <c r="B74" s="15" t="s">
        <v>226</v>
      </c>
    </row>
    <row r="75" customFormat="false" ht="15" hidden="false" customHeight="false" outlineLevel="0" collapsed="false">
      <c r="B75" s="1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2026-08-24T16:55:11Z</dcterms:created>
  <dc:creator>openpyxl</dc:creator>
  <dc:description/>
  <dc:language>en-US</dc:language>
  <cp:lastModifiedBy/>
  <dcterms:modified xsi:type="dcterms:W3CDTF">2026-08-24T16:55:11Z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