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Cashflow" sheetId="3" state="visible" r:id="rId5"/>
    <sheet name="Summary &amp; Breakeven" sheetId="4" state="visible" r:id="rId6"/>
    <sheet name="Statement" sheetId="5" state="visible" r:id="rId7"/>
  </sheets>
  <definedNames>
    <definedName function="false" hidden="false" localSheetId="4" name="_xlnm.Print_Area" vbProcedure="false">Statement!$B$1:$H$65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<sst xmlns="http://schemas.openxmlformats.org/spreadsheetml/2006/main" count="236" uniqueCount="208">
  <si>
    <t xml:space="preserve">REL FINANCE</t>
  </si>
  <si>
    <t xml:space="preserve">RELiable capital.  RELationship focused.  RELentless in execution.</t>
  </si>
  <si>
    <t xml:space="preserve">BRIDGE LOAN BASE MODEL</t>
  </si>
  <si>
    <t xml:space="preserve">Whole-loan origination · senior funding · REL junior returns</t>
  </si>
  <si>
    <t xml:space="preserve">DEAL</t>
  </si>
  <si>
    <t xml:space="preserve">Deal Name</t>
  </si>
  <si>
    <t xml:space="preserve">Address</t>
  </si>
  <si>
    <t xml:space="preserve">Asset Class / Loan Type</t>
  </si>
  <si>
    <t xml:space="preserve">Gross Loan</t>
  </si>
  <si>
    <t xml:space="preserve">Term</t>
  </si>
  <si>
    <t xml:space="preserve">HEADLINE RETURNS</t>
  </si>
  <si>
    <t xml:space="preserve">REL Net Profit</t>
  </si>
  <si>
    <t xml:space="preserve">REL IRR</t>
  </si>
  <si>
    <t xml:space="preserve">REL Equity Multiple</t>
  </si>
  <si>
    <t xml:space="preserve">Day-1 LTV / 180-Day LTV</t>
  </si>
  <si>
    <t xml:space="preserve">HOW TO USE</t>
  </si>
  <si>
    <t xml:space="preserve">Blue cells on the Inputs sheet are the only cells to change. All calculations, the monthly cashflow</t>
  </si>
  <si>
    <t xml:space="preserve">ledger, the fee breakdown and the summary &amp; breakeven metrics flow through automatically.</t>
  </si>
  <si>
    <t xml:space="preserve">Interest is actual/365, monthly periods via EDATE. Model supports terms up to 36 months.</t>
  </si>
  <si>
    <t xml:space="preserve">Cashflow columns B:H are the borrower-facing ledger – copy and paste directly for brokers.</t>
  </si>
  <si>
    <t xml:space="preserve">The Statement tab turns the model into a borrower statement: set the Statement Date and # ,</t>
  </si>
  <si>
    <t xml:space="preserve">then print / PDF the tab. Rows are flagged Complete or Forecast against the statement date.</t>
  </si>
  <si>
    <t xml:space="preserve">Save a renamed copy per deal, e.g. [DealName]_Financial_Model.xlsx.</t>
  </si>
  <si>
    <t xml:space="preserve">REL Finance Limited</t>
  </si>
  <si>
    <t xml:space="preserve">27 Hill Street, Mayfair, London, W1J 5LP  ·  info@relfinance.co.uk  ·  relfinance.co.uk</t>
  </si>
  <si>
    <t xml:space="preserve">Registered in England &amp; Wales, company no. 14285643. Registered with the FCA for AML, firm reference 990924.</t>
  </si>
  <si>
    <t xml:space="preserve">Internal underwriting model – for information purposes only; does not constitute investment advice.</t>
  </si>
  <si>
    <t xml:space="preserve">REL FINANCE – BRIDGE LOAN BASE MODEL</t>
  </si>
  <si>
    <t xml:space="preserve">Blue cells = inputs. Black cells = calculated. Change inputs only.</t>
  </si>
  <si>
    <t xml:space="preserve">DEAL INFORMATION</t>
  </si>
  <si>
    <t xml:space="preserve">Housing First Group</t>
  </si>
  <si>
    <t xml:space="preserve">TBC</t>
  </si>
  <si>
    <t xml:space="preserve">Asset Class</t>
  </si>
  <si>
    <t xml:space="preserve">Residential</t>
  </si>
  <si>
    <t xml:space="preserve">Dropdown – drives which breakeven metrics apply</t>
  </si>
  <si>
    <t xml:space="preserve">Loan Type</t>
  </si>
  <si>
    <t xml:space="preserve">Bridge</t>
  </si>
  <si>
    <t xml:space="preserve">Dropdown</t>
  </si>
  <si>
    <t xml:space="preserve">Drawdown Date</t>
  </si>
  <si>
    <t xml:space="preserve">Term (months)</t>
  </si>
  <si>
    <t xml:space="preserve">Change term here – cashflow flexes automatically (max 36)</t>
  </si>
  <si>
    <t xml:space="preserve">WHOLE LOAN TERMS (borrower facing)</t>
  </si>
  <si>
    <t xml:space="preserve">£ amount</t>
  </si>
  <si>
    <t xml:space="preserve">Gross Loan (£)</t>
  </si>
  <si>
    <t xml:space="preserve">Arrangement Fee %</t>
  </si>
  <si>
    <t xml:space="preserve">REL income, deducted from advance on day 1</t>
  </si>
  <si>
    <t xml:space="preserve">Broker Fee %</t>
  </si>
  <si>
    <t xml:space="preserve">Paid away to broker – reduces borrower net advance only, not REL income</t>
  </si>
  <si>
    <t xml:space="preserve">Exit Fee %</t>
  </si>
  <si>
    <t xml:space="preserve">On gross loan, payable at redemption – REL income</t>
  </si>
  <si>
    <t xml:space="preserve">Admin / Other Fee (£)</t>
  </si>
  <si>
    <t xml:space="preserve">Flat fee deducted on day 1 – REL income (0 if none)</t>
  </si>
  <si>
    <t xml:space="preserve">Margin %</t>
  </si>
  <si>
    <t xml:space="preserve">Base Rate %</t>
  </si>
  <si>
    <t xml:space="preserve">Total Interest Rate</t>
  </si>
  <si>
    <t xml:space="preserve">Margin + base</t>
  </si>
  <si>
    <t xml:space="preserve">Interest Treatment</t>
  </si>
  <si>
    <t xml:space="preserve">Serviced Monthly</t>
  </si>
  <si>
    <t xml:space="preserve">Dropdown – Serviced Monthly or Retained (Reserve)</t>
  </si>
  <si>
    <t xml:space="preserve">Interest Reserve (£)</t>
  </si>
  <si>
    <t xml:space="preserve">Gross × rate × term/12 if retained</t>
  </si>
  <si>
    <t xml:space="preserve">Day-1 Net Advance to Borrower</t>
  </si>
  <si>
    <t xml:space="preserve">Gross less arrangement, broker &amp; admin fees and reserve</t>
  </si>
  <si>
    <t xml:space="preserve">FUNDING STRUCTURE (how REL funds the loan)</t>
  </si>
  <si>
    <t xml:space="preserve">Structure</t>
  </si>
  <si>
    <t xml:space="preserve">Senior Funder + REL Junior</t>
  </si>
  <si>
    <t xml:space="preserve">Dropdown – set to Unlevered (REL 100%) if REL funds the whole loan</t>
  </si>
  <si>
    <t xml:space="preserve">Senior Funder</t>
  </si>
  <si>
    <t xml:space="preserve">GB Bank</t>
  </si>
  <si>
    <t xml:space="preserve">Senior Loan (£)</t>
  </si>
  <si>
    <t xml:space="preserve">Amount raised from senior funder</t>
  </si>
  <si>
    <t xml:space="preserve">Senior Arrangement Fee %</t>
  </si>
  <si>
    <t xml:space="preserve">Cost to REL, paid day 1</t>
  </si>
  <si>
    <t xml:space="preserve">Senior Margin %</t>
  </si>
  <si>
    <t xml:space="preserve">Senior Base Rate %</t>
  </si>
  <si>
    <t xml:space="preserve">Senior Total Rate</t>
  </si>
  <si>
    <t xml:space="preserve">Senior Exit Fee %</t>
  </si>
  <si>
    <t xml:space="preserve">Cost to REL at redemption</t>
  </si>
  <si>
    <t xml:space="preserve">Effective Senior Loan</t>
  </si>
  <si>
    <t xml:space="preserve">Zero if unlevered</t>
  </si>
  <si>
    <t xml:space="preserve">REL Net Capital (junior piece)</t>
  </si>
  <si>
    <t xml:space="preserve">REL money in the deal</t>
  </si>
  <si>
    <t xml:space="preserve">ASSET METRICS</t>
  </si>
  <si>
    <t xml:space="preserve">Market Value (£)</t>
  </si>
  <si>
    <t xml:space="preserve">180-Day / Restricted MV (£)</t>
  </si>
  <si>
    <t xml:space="preserve">Purchase Price (£)</t>
  </si>
  <si>
    <t xml:space="preserve">Leave blank if refinance</t>
  </si>
  <si>
    <t xml:space="preserve">Area (sq ft)</t>
  </si>
  <si>
    <t xml:space="preserve">For breakeven £psf</t>
  </si>
  <si>
    <t xml:space="preserve">No. of Units</t>
  </si>
  <si>
    <t xml:space="preserve">For breakeven per unit (resi blocks)</t>
  </si>
  <si>
    <t xml:space="preserve">No. of Beds / Rooms</t>
  </si>
  <si>
    <t xml:space="preserve">For breakeven per bed (hotels)</t>
  </si>
  <si>
    <t xml:space="preserve">Annual Rent / EBITDA (£)</t>
  </si>
  <si>
    <t xml:space="preserve">For debt yield (income-producing assets)</t>
  </si>
  <si>
    <t xml:space="preserve">MONTHLY CASHFLOW LEDGER – ACT/365</t>
  </si>
  <si>
    <t xml:space="preserve">COMPLETION STATEMENT &amp; FEE BREAKDOWN</t>
  </si>
  <si>
    <t xml:space="preserve">Gross loan</t>
  </si>
  <si>
    <t xml:space="preserve">Less: Admin / other fee</t>
  </si>
  <si>
    <t xml:space="preserve">Less: Interest reserve retained</t>
  </si>
  <si>
    <t xml:space="preserve">Net advance to borrower (day 1)</t>
  </si>
  <si>
    <t xml:space="preserve">Redemption amount (principal + exit fee, excl. final interest)</t>
  </si>
  <si>
    <t xml:space="preserve">WHOLE LOAN – BORROWER LEDGER  (copy B:H for broker)</t>
  </si>
  <si>
    <t xml:space="preserve">REL VIEW</t>
  </si>
  <si>
    <t xml:space="preserve">SENIOR FUNDING  (REL as borrower from senior)</t>
  </si>
  <si>
    <t xml:space="preserve">REL FINANCE – NET POSITION</t>
  </si>
  <si>
    <t xml:space="preserve">Mo</t>
  </si>
  <si>
    <t xml:space="preserve">Date</t>
  </si>
  <si>
    <t xml:space="preserve">Details</t>
  </si>
  <si>
    <t xml:space="preserve">Days</t>
  </si>
  <si>
    <t xml:space="preserve">Paid Out (£)</t>
  </si>
  <si>
    <t xml:space="preserve">Interest (£)</t>
  </si>
  <si>
    <t xml:space="preserve">Paid In (£)</t>
  </si>
  <si>
    <t xml:space="preserve">Loan Balance (£)</t>
  </si>
  <si>
    <t xml:space="preserve">Net CF (£)</t>
  </si>
  <si>
    <t xml:space="preserve">Balance (£)</t>
  </si>
  <si>
    <t xml:space="preserve">Net Interest (£)</t>
  </si>
  <si>
    <t xml:space="preserve">REL Capital (£)</t>
  </si>
  <si>
    <t xml:space="preserve">Drawdown (fees deducted at source)</t>
  </si>
  <si>
    <t xml:space="preserve">Deploy capital – fund whole loan, draw senior</t>
  </si>
  <si>
    <t xml:space="preserve">TOTAL</t>
  </si>
  <si>
    <t xml:space="preserve">Whole Loan Profit (£)</t>
  </si>
  <si>
    <t xml:space="preserve">Whole Loan IRR (unlevered)</t>
  </si>
  <si>
    <t xml:space="preserve">Senior Funding Cost (£)</t>
  </si>
  <si>
    <t xml:space="preserve">REL Net Profit (£)</t>
  </si>
  <si>
    <t xml:space="preserve">REL IRR (on net capital)</t>
  </si>
  <si>
    <t xml:space="preserve">Whole Loan IRR assumes REL funds 100%; REL IRR is geared on net capital after senior funding.</t>
  </si>
  <si>
    <t xml:space="preserve">RETURNS</t>
  </si>
  <si>
    <t xml:space="preserve">Whole Loan Profit</t>
  </si>
  <si>
    <t xml:space="preserve">Whole Loan IRR</t>
  </si>
  <si>
    <t xml:space="preserve">Senior Funding Cost</t>
  </si>
  <si>
    <t xml:space="preserve">REL Net Capital Deployed</t>
  </si>
  <si>
    <t xml:space="preserve">Profit on Capital (undiscounted)</t>
  </si>
  <si>
    <t xml:space="preserve">FEE BREAKDOWN (£)</t>
  </si>
  <si>
    <t xml:space="preserve">Whole Loan</t>
  </si>
  <si>
    <t xml:space="preserve">Senior</t>
  </si>
  <si>
    <t xml:space="preserve">Net to REL</t>
  </si>
  <si>
    <t xml:space="preserve">Arrangement Fee</t>
  </si>
  <si>
    <t xml:space="preserve">Whole-loan AF earned day 1 less senior AF paid</t>
  </si>
  <si>
    <t xml:space="preserve">Broker Fee (paid away)</t>
  </si>
  <si>
    <t xml:space="preserve">Deducted from borrower advance and paid to broker – not REL income</t>
  </si>
  <si>
    <t xml:space="preserve">Admin / Other Fee</t>
  </si>
  <si>
    <t xml:space="preserve">Flat day-1 fee retained by REL</t>
  </si>
  <si>
    <t xml:space="preserve">Exit Fee</t>
  </si>
  <si>
    <t xml:space="preserve">Earned on gross loan at redemption less senior exit fee paid</t>
  </si>
  <si>
    <t xml:space="preserve">Total Fees</t>
  </si>
  <si>
    <t xml:space="preserve">Net fees to REL (excludes broker fee)</t>
  </si>
  <si>
    <t xml:space="preserve">FUNDING ANALYSIS (source of REL return)</t>
  </si>
  <si>
    <t xml:space="preserve">Whole Loan Rate (charged)</t>
  </si>
  <si>
    <t xml:space="preserve">Senior Rate (paid)</t>
  </si>
  <si>
    <t xml:space="preserve">Rate Spread Captured</t>
  </si>
  <si>
    <t xml:space="preserve">REL earns the whole-loan rate on the senior piece funded at the cheaper senior rate</t>
  </si>
  <si>
    <t xml:space="preserve">Senior Leverage (% of whole loan)</t>
  </si>
  <si>
    <t xml:space="preserve">Implied REL Rate on Junior Piece</t>
  </si>
  <si>
    <t xml:space="preserve">Geared running yield before fees</t>
  </si>
  <si>
    <t xml:space="preserve">CREDIT METRICS &amp; LOAN BREAKEVEN</t>
  </si>
  <si>
    <t xml:space="preserve">Redemption Amount (gross + exit fee)</t>
  </si>
  <si>
    <t xml:space="preserve">Breakeven sale proceeds required to repay in full</t>
  </si>
  <si>
    <t xml:space="preserve">Day-1 LTV (gross / MV)</t>
  </si>
  <si>
    <t xml:space="preserve">Gross LTV incl. Exit Fee</t>
  </si>
  <si>
    <t xml:space="preserve">180-Day LTV (redemption / 180d MV)</t>
  </si>
  <si>
    <t xml:space="preserve">Cover under a forced-sale valuation</t>
  </si>
  <si>
    <t xml:space="preserve">LTPP (gross / purchase price)</t>
  </si>
  <si>
    <t xml:space="preserve">Breakeven £ psf</t>
  </si>
  <si>
    <t xml:space="preserve">Residential / commercial / mixed</t>
  </si>
  <si>
    <t xml:space="preserve">Breakeven per Unit</t>
  </si>
  <si>
    <t xml:space="preserve">Multi-unit residential</t>
  </si>
  <si>
    <t xml:space="preserve">Breakeven per Bed / Room</t>
  </si>
  <si>
    <t xml:space="preserve">Hotels / leisure</t>
  </si>
  <si>
    <t xml:space="preserve">Debt Yield (income / loan)</t>
  </si>
  <si>
    <t xml:space="preserve">Income-producing assets / EBITDA debt yield for hotels</t>
  </si>
  <si>
    <t xml:space="preserve">MV Cushion to Breakeven</t>
  </si>
  <si>
    <t xml:space="preserve">% the market value can fall before principal + exit fee is at risk</t>
  </si>
  <si>
    <t xml:space="preserve">REL Finance Limited · 27 Hill Street, Mayfair, London, W1J 5LP · relfinance.co.uk</t>
  </si>
  <si>
    <t xml:space="preserve">LOAN STATEMENT</t>
  </si>
  <si>
    <t xml:space="preserve">27 Hill Street, Mayfair, London, W1J 5LP</t>
  </si>
  <si>
    <t xml:space="preserve">Statement period:</t>
  </si>
  <si>
    <t xml:space="preserve">Blue cells = statement inputs</t>
  </si>
  <si>
    <t xml:space="preserve">Underlying loan:</t>
  </si>
  <si>
    <t xml:space="preserve">STATEMENT DETAILS</t>
  </si>
  <si>
    <t xml:space="preserve">LOAN DETAILS</t>
  </si>
  <si>
    <t xml:space="preserve">BORROWER DETAILS</t>
  </si>
  <si>
    <t xml:space="preserve">Statement Date</t>
  </si>
  <si>
    <t xml:space="preserve">Completion Date</t>
  </si>
  <si>
    <t xml:space="preserve">Borrower</t>
  </si>
  <si>
    <t xml:space="preserve">Housing First Group Ltd</t>
  </si>
  <si>
    <t xml:space="preserve">Statement #</t>
  </si>
  <si>
    <t xml:space="preserve">Redemption Date</t>
  </si>
  <si>
    <t xml:space="preserve">Borrower Address</t>
  </si>
  <si>
    <t xml:space="preserve">Status</t>
  </si>
  <si>
    <t xml:space="preserve">Property</t>
  </si>
  <si>
    <t xml:space="preserve">Broker</t>
  </si>
  <si>
    <t xml:space="preserve">Interest Rate</t>
  </si>
  <si>
    <t xml:space="preserve">Arrangement Fee (£)</t>
  </si>
  <si>
    <t xml:space="preserve">Exit Fee (£)</t>
  </si>
  <si>
    <t xml:space="preserve">STATEMENT SUMMARY</t>
  </si>
  <si>
    <t xml:space="preserve">Original principal (£)</t>
  </si>
  <si>
    <t xml:space="preserve">Fees charged to date (£)</t>
  </si>
  <si>
    <t xml:space="preserve">Complete rows</t>
  </si>
  <si>
    <t xml:space="preserve">Net advance – day 1 (£)</t>
  </si>
  <si>
    <t xml:space="preserve">Paid in to date (£)</t>
  </si>
  <si>
    <t xml:space="preserve">Forecast rows</t>
  </si>
  <si>
    <t xml:space="preserve">Interest accrued to date (£)</t>
  </si>
  <si>
    <t xml:space="preserve">Closing principal balance (£)</t>
  </si>
  <si>
    <t xml:space="preserve">Interest Accrued (£)</t>
  </si>
  <si>
    <t xml:space="preserve">Principal Balance (£)</t>
  </si>
  <si>
    <t xml:space="preserve">Complete / Forecast</t>
  </si>
  <si>
    <t xml:space="preserve">REL Finance Limited · 27 Hill Street, Mayfair, London, W1J 5LP · info@relfinance.co.uk · relfinance.co.uk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</si>
</sst>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£#,##0;&quot;(£&quot;#,##0\);\-"/>
    <numFmt numFmtId="166" formatCode="0.00%"/>
    <numFmt numFmtId="167" formatCode="0.00\x"/>
    <numFmt numFmtId="168" formatCode="dd\-mmm\-yy"/>
    <numFmt numFmtId="169" formatCode="0;\-0;\-"/>
    <numFmt numFmtId="170" formatCode="dd/mm/yy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203864"/>
      <name val="Arial"/>
      <family val="0"/>
      <charset val="1"/>
    </font>
    <font>
      <i val="true"/>
      <sz val="10"/>
      <color rgb="FFBF9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20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3"/>
      <color rgb="FF20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9"/>
      <color rgb="FF203864"/>
      <name val="Arial"/>
      <family val="0"/>
      <charset val="1"/>
    </font>
    <font>
      <b val="true"/>
      <sz val="14"/>
      <color rgb="FF203864"/>
      <name val="Arial"/>
      <family val="0"/>
      <charset val="1"/>
    </font>
    <font>
      <b val="true"/>
      <sz val="16"/>
      <color rgb="FF203864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8"/>
      <color rgb="FF0000FF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333333"/>
      </patternFill>
    </fill>
    <fill>
      <patternFill patternType="solid">
        <fgColor rgb="FF808080"/>
        <bgColor rgb="FF969696"/>
      </patternFill>
    </fill>
    <fill>
      <patternFill patternType="solid">
        <fgColor rgb="FFF2F2F2"/>
        <bgColor rgb="FFFF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203864"/>
      </top>
      <bottom/>
      <diagonal/>
    </border>
    <border diagonalUp="false" diagonalDown="false">
      <left/>
      <right/>
      <top/>
      <bottom style="thin">
        <color rgb="FF203864"/>
      </bottom>
      <diagonal/>
    </border>
    <border diagonalUp="false" diagonalDown="false">
      <left/>
      <right/>
      <top/>
      <bottom style="hair">
        <color rgb="FFBFBFBF"/>
      </bottom>
      <diagonal/>
    </border>
    <border diagonalUp="false" diagonalDown="false">
      <left/>
      <right/>
      <top style="double">
        <color rgb="FF203864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666699"/>
      <rgbColor rgb="FF969696"/>
      <rgbColor rgb="FF20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3864"/>
    <pageSetUpPr fitToPage="false"/>
  </sheetPr>
  <dimension ref="B3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64"/>
  </cols>
  <sheetData>
    <row r="3" customFormat="false" ht="31.5" hidden="false" customHeight="false" outlineLevel="0" collapsed="false">
      <c r="B3" s="1" t="s">
        <v>0</v>
      </c>
    </row>
    <row r="5" customFormat="false" ht="15" hidden="false" customHeight="false" outlineLevel="0" collapsed="false">
      <c r="B5" s="2" t="s">
        <v>1</v>
      </c>
    </row>
    <row r="9" customFormat="false" ht="19.7" hidden="false" customHeight="false" outlineLevel="0" collapsed="false">
      <c r="B9" s="3" t="s">
        <v>2</v>
      </c>
    </row>
    <row r="10" customFormat="false" ht="15" hidden="false" customHeight="false" outlineLevel="0" collapsed="false">
      <c r="B10" s="4" t="s">
        <v>3</v>
      </c>
    </row>
    <row r="13" customFormat="false" ht="15" hidden="false" customHeight="false" outlineLevel="0" collapsed="false">
      <c r="B13" s="5" t="s">
        <v>4</v>
      </c>
    </row>
    <row r="14" customFormat="false" ht="15" hidden="false" customHeight="false" outlineLevel="0" collapsed="false">
      <c r="B14" s="6" t="s">
        <v>5</v>
      </c>
      <c r="C14" s="7" t="str">
        <f aca="false">Inputs!C6</f>
        <v>Housing First Group</v>
      </c>
    </row>
    <row r="15" customFormat="false" ht="15" hidden="false" customHeight="false" outlineLevel="0" collapsed="false">
      <c r="B15" s="6" t="s">
        <v>6</v>
      </c>
      <c r="C15" s="7" t="str">
        <f aca="false">Inputs!C7</f>
        <v>TBC</v>
      </c>
    </row>
    <row r="16" customFormat="false" ht="15" hidden="false" customHeight="false" outlineLevel="0" collapsed="false">
      <c r="B16" s="6" t="s">
        <v>7</v>
      </c>
      <c r="C16" s="7" t="str">
        <f aca="false">Inputs!C8&amp;" | "&amp;Inputs!C9</f>
        <v>Residential | Bridge</v>
      </c>
    </row>
    <row r="17" customFormat="false" ht="15" hidden="false" customHeight="false" outlineLevel="0" collapsed="false">
      <c r="B17" s="6" t="s">
        <v>8</v>
      </c>
      <c r="C17" s="8" t="n">
        <f aca="false">Inputs!C14</f>
        <v>3700000</v>
      </c>
    </row>
    <row r="18" customFormat="false" ht="15" hidden="false" customHeight="false" outlineLevel="0" collapsed="false">
      <c r="B18" s="6" t="s">
        <v>9</v>
      </c>
      <c r="C18" s="7" t="str">
        <f aca="false">TEXT(Inputs!C11,"0")&amp;" months from "&amp;TEXT(Inputs!C10,"dd-mmm-yy")</f>
        <v>24 months from 01-Aug-26</v>
      </c>
    </row>
    <row r="21" customFormat="false" ht="15" hidden="false" customHeight="false" outlineLevel="0" collapsed="false">
      <c r="B21" s="5" t="s">
        <v>10</v>
      </c>
    </row>
    <row r="22" customFormat="false" ht="15" hidden="false" customHeight="false" outlineLevel="0" collapsed="false">
      <c r="B22" s="6" t="s">
        <v>11</v>
      </c>
      <c r="C22" s="9" t="n">
        <f aca="false">'Summary &amp; Breakeven'!C9</f>
        <v>324111.130136986</v>
      </c>
    </row>
    <row r="23" customFormat="false" ht="15" hidden="false" customHeight="false" outlineLevel="0" collapsed="false">
      <c r="B23" s="6" t="s">
        <v>12</v>
      </c>
      <c r="C23" s="10" t="n">
        <f aca="false">'Summary &amp; Breakeven'!C10</f>
        <v>0.188813541490083</v>
      </c>
    </row>
    <row r="24" customFormat="false" ht="15" hidden="false" customHeight="false" outlineLevel="0" collapsed="false">
      <c r="B24" s="6" t="s">
        <v>13</v>
      </c>
      <c r="C24" s="11" t="n">
        <f aca="false">'Summary &amp; Breakeven'!C11</f>
        <v>1.35937478047067</v>
      </c>
    </row>
    <row r="25" customFormat="false" ht="15" hidden="false" customHeight="false" outlineLevel="0" collapsed="false">
      <c r="B25" s="6" t="s">
        <v>14</v>
      </c>
      <c r="C25" s="12" t="str">
        <f aca="false">TEXT('Summary &amp; Breakeven'!C33,"0.0%")&amp;" / "&amp;TEXT('Summary &amp; Breakeven'!C35,"0.0%")</f>
        <v>59.9% / 85.8%</v>
      </c>
    </row>
    <row r="28" customFormat="false" ht="15" hidden="false" customHeight="false" outlineLevel="0" collapsed="false">
      <c r="B28" s="5" t="s">
        <v>15</v>
      </c>
    </row>
    <row r="29" customFormat="false" ht="15" hidden="false" customHeight="false" outlineLevel="0" collapsed="false">
      <c r="B29" s="13" t="s">
        <v>16</v>
      </c>
    </row>
    <row r="30" customFormat="false" ht="15" hidden="false" customHeight="false" outlineLevel="0" collapsed="false">
      <c r="B30" s="13" t="s">
        <v>17</v>
      </c>
    </row>
    <row r="31" customFormat="false" ht="15" hidden="false" customHeight="false" outlineLevel="0" collapsed="false">
      <c r="B31" s="13" t="s">
        <v>18</v>
      </c>
    </row>
    <row r="32" customFormat="false" ht="15" hidden="false" customHeight="false" outlineLevel="0" collapsed="false">
      <c r="B32" s="13" t="s">
        <v>19</v>
      </c>
    </row>
    <row r="33" customFormat="false" ht="15" hidden="false" customHeight="false" outlineLevel="0" collapsed="false">
      <c r="B33" s="13" t="s">
        <v>20</v>
      </c>
    </row>
    <row r="34" customFormat="false" ht="15" hidden="false" customHeight="false" outlineLevel="0" collapsed="false">
      <c r="B34" s="13" t="s">
        <v>21</v>
      </c>
    </row>
    <row r="35" customFormat="false" ht="15" hidden="false" customHeight="false" outlineLevel="0" collapsed="false">
      <c r="B35" s="13" t="s">
        <v>22</v>
      </c>
    </row>
    <row r="38" customFormat="false" ht="15" hidden="false" customHeight="false" outlineLevel="0" collapsed="false">
      <c r="B38" s="14" t="s">
        <v>23</v>
      </c>
    </row>
    <row r="39" customFormat="false" ht="15" hidden="false" customHeight="false" outlineLevel="0" collapsed="false">
      <c r="B39" s="15" t="s">
        <v>24</v>
      </c>
    </row>
    <row r="40" customFormat="false" ht="15" hidden="false" customHeight="false" outlineLevel="0" collapsed="false">
      <c r="B40" s="15" t="s">
        <v>25</v>
      </c>
    </row>
    <row r="41" customFormat="false" ht="15" hidden="false" customHeight="false" outlineLevel="0" collapsed="false">
      <c r="B41" s="1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3864"/>
    <pageSetUpPr fitToPage="false"/>
  </sheetPr>
  <dimension ref="B2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52"/>
  </cols>
  <sheetData>
    <row r="2" customFormat="false" ht="16.15" hidden="false" customHeight="false" outlineLevel="0" collapsed="false">
      <c r="B2" s="17" t="s">
        <v>27</v>
      </c>
    </row>
    <row r="3" customFormat="false" ht="15" hidden="false" customHeight="false" outlineLevel="0" collapsed="false">
      <c r="B3" s="18" t="s">
        <v>28</v>
      </c>
    </row>
    <row r="5" customFormat="false" ht="15" hidden="false" customHeight="false" outlineLevel="0" collapsed="false">
      <c r="B5" s="19" t="s">
        <v>29</v>
      </c>
      <c r="C5" s="20"/>
      <c r="D5" s="20"/>
      <c r="E5" s="20"/>
    </row>
    <row r="6" customFormat="false" ht="15" hidden="false" customHeight="false" outlineLevel="0" collapsed="false">
      <c r="B6" s="7" t="s">
        <v>5</v>
      </c>
      <c r="C6" s="21" t="s">
        <v>30</v>
      </c>
      <c r="D6" s="22"/>
      <c r="E6" s="22"/>
    </row>
    <row r="7" customFormat="false" ht="15" hidden="false" customHeight="false" outlineLevel="0" collapsed="false">
      <c r="B7" s="7" t="s">
        <v>6</v>
      </c>
      <c r="C7" s="21" t="s">
        <v>31</v>
      </c>
      <c r="D7" s="22"/>
      <c r="E7" s="22"/>
    </row>
    <row r="8" customFormat="false" ht="15" hidden="false" customHeight="false" outlineLevel="0" collapsed="false">
      <c r="B8" s="7" t="s">
        <v>32</v>
      </c>
      <c r="C8" s="21" t="s">
        <v>33</v>
      </c>
      <c r="D8" s="22"/>
      <c r="E8" s="23" t="s">
        <v>34</v>
      </c>
    </row>
    <row r="9" customFormat="false" ht="15" hidden="false" customHeight="false" outlineLevel="0" collapsed="false">
      <c r="B9" s="7" t="s">
        <v>35</v>
      </c>
      <c r="C9" s="21" t="s">
        <v>36</v>
      </c>
      <c r="D9" s="22"/>
      <c r="E9" s="23" t="s">
        <v>37</v>
      </c>
    </row>
    <row r="10" customFormat="false" ht="15" hidden="false" customHeight="false" outlineLevel="0" collapsed="false">
      <c r="B10" s="7" t="s">
        <v>38</v>
      </c>
      <c r="C10" s="24" t="n">
        <v>46235</v>
      </c>
      <c r="D10" s="22"/>
      <c r="E10" s="22"/>
    </row>
    <row r="11" customFormat="false" ht="15" hidden="false" customHeight="false" outlineLevel="0" collapsed="false">
      <c r="B11" s="7" t="s">
        <v>39</v>
      </c>
      <c r="C11" s="25" t="n">
        <v>24</v>
      </c>
      <c r="D11" s="22"/>
      <c r="E11" s="23" t="s">
        <v>40</v>
      </c>
    </row>
    <row r="13" customFormat="false" ht="15" hidden="false" customHeight="false" outlineLevel="0" collapsed="false">
      <c r="B13" s="19" t="s">
        <v>41</v>
      </c>
      <c r="C13" s="20"/>
      <c r="D13" s="26" t="s">
        <v>42</v>
      </c>
      <c r="E13" s="20"/>
    </row>
    <row r="14" customFormat="false" ht="15" hidden="false" customHeight="false" outlineLevel="0" collapsed="false">
      <c r="B14" s="7" t="s">
        <v>43</v>
      </c>
      <c r="C14" s="27" t="n">
        <v>3700000</v>
      </c>
      <c r="D14" s="22"/>
      <c r="E14" s="22"/>
    </row>
    <row r="15" customFormat="false" ht="15" hidden="false" customHeight="false" outlineLevel="0" collapsed="false">
      <c r="B15" s="7" t="s">
        <v>44</v>
      </c>
      <c r="C15" s="28" t="n">
        <v>0.01</v>
      </c>
      <c r="D15" s="29" t="n">
        <f aca="false">C14*C15</f>
        <v>37000</v>
      </c>
      <c r="E15" s="23" t="s">
        <v>45</v>
      </c>
    </row>
    <row r="16" customFormat="false" ht="15" hidden="false" customHeight="false" outlineLevel="0" collapsed="false">
      <c r="B16" s="7" t="s">
        <v>46</v>
      </c>
      <c r="C16" s="28" t="n">
        <v>0</v>
      </c>
      <c r="D16" s="29" t="n">
        <f aca="false">C14*C16</f>
        <v>0</v>
      </c>
      <c r="E16" s="23" t="s">
        <v>47</v>
      </c>
    </row>
    <row r="17" customFormat="false" ht="15" hidden="false" customHeight="false" outlineLevel="0" collapsed="false">
      <c r="B17" s="7" t="s">
        <v>48</v>
      </c>
      <c r="C17" s="28" t="n">
        <v>0.01</v>
      </c>
      <c r="D17" s="29" t="n">
        <f aca="false">C14*C17</f>
        <v>37000</v>
      </c>
      <c r="E17" s="23" t="s">
        <v>49</v>
      </c>
    </row>
    <row r="18" customFormat="false" ht="15" hidden="false" customHeight="false" outlineLevel="0" collapsed="false">
      <c r="B18" s="7" t="s">
        <v>50</v>
      </c>
      <c r="C18" s="27" t="n">
        <v>0</v>
      </c>
      <c r="D18" s="22"/>
      <c r="E18" s="23" t="s">
        <v>51</v>
      </c>
    </row>
    <row r="19" customFormat="false" ht="15" hidden="false" customHeight="false" outlineLevel="0" collapsed="false">
      <c r="B19" s="7" t="s">
        <v>52</v>
      </c>
      <c r="C19" s="28" t="n">
        <v>0.045</v>
      </c>
      <c r="D19" s="22"/>
      <c r="E19" s="22"/>
    </row>
    <row r="20" customFormat="false" ht="15" hidden="false" customHeight="false" outlineLevel="0" collapsed="false">
      <c r="B20" s="7" t="s">
        <v>53</v>
      </c>
      <c r="C20" s="28" t="n">
        <v>0.0375</v>
      </c>
      <c r="D20" s="22"/>
      <c r="E20" s="22"/>
    </row>
    <row r="21" customFormat="false" ht="15" hidden="false" customHeight="false" outlineLevel="0" collapsed="false">
      <c r="B21" s="7" t="s">
        <v>54</v>
      </c>
      <c r="C21" s="30" t="n">
        <f aca="false">C19+C20</f>
        <v>0.0825</v>
      </c>
      <c r="D21" s="22"/>
      <c r="E21" s="23" t="s">
        <v>55</v>
      </c>
    </row>
    <row r="22" customFormat="false" ht="15" hidden="false" customHeight="false" outlineLevel="0" collapsed="false">
      <c r="B22" s="7" t="s">
        <v>56</v>
      </c>
      <c r="C22" s="21" t="s">
        <v>57</v>
      </c>
      <c r="D22" s="22"/>
      <c r="E22" s="23" t="s">
        <v>58</v>
      </c>
    </row>
    <row r="23" customFormat="false" ht="15" hidden="false" customHeight="false" outlineLevel="0" collapsed="false">
      <c r="B23" s="7" t="s">
        <v>59</v>
      </c>
      <c r="C23" s="29" t="n">
        <f aca="false">IF(C22="Retained (Reserve)",C14*C21*C11/12,0)</f>
        <v>0</v>
      </c>
      <c r="D23" s="22"/>
      <c r="E23" s="23" t="s">
        <v>60</v>
      </c>
    </row>
    <row r="24" customFormat="false" ht="15" hidden="false" customHeight="false" outlineLevel="0" collapsed="false">
      <c r="B24" s="7" t="s">
        <v>61</v>
      </c>
      <c r="C24" s="29" t="n">
        <f aca="false">C14-D15-D16-C18-C23</f>
        <v>3663000</v>
      </c>
      <c r="D24" s="22"/>
      <c r="E24" s="23" t="s">
        <v>62</v>
      </c>
    </row>
    <row r="26" customFormat="false" ht="15" hidden="false" customHeight="false" outlineLevel="0" collapsed="false">
      <c r="B26" s="19" t="s">
        <v>63</v>
      </c>
      <c r="C26" s="20"/>
      <c r="D26" s="20"/>
      <c r="E26" s="20"/>
    </row>
    <row r="27" customFormat="false" ht="15" hidden="false" customHeight="false" outlineLevel="0" collapsed="false">
      <c r="B27" s="7" t="s">
        <v>64</v>
      </c>
      <c r="C27" s="21" t="s">
        <v>65</v>
      </c>
      <c r="D27" s="22"/>
      <c r="E27" s="23" t="s">
        <v>66</v>
      </c>
    </row>
    <row r="28" customFormat="false" ht="15" hidden="false" customHeight="false" outlineLevel="0" collapsed="false">
      <c r="B28" s="7" t="s">
        <v>67</v>
      </c>
      <c r="C28" s="21" t="s">
        <v>68</v>
      </c>
      <c r="D28" s="22"/>
      <c r="E28" s="22"/>
    </row>
    <row r="29" customFormat="false" ht="15" hidden="false" customHeight="false" outlineLevel="0" collapsed="false">
      <c r="B29" s="7" t="s">
        <v>69</v>
      </c>
      <c r="C29" s="27" t="n">
        <v>2775000</v>
      </c>
      <c r="D29" s="22"/>
      <c r="E29" s="23" t="s">
        <v>70</v>
      </c>
    </row>
    <row r="30" customFormat="false" ht="15" hidden="false" customHeight="false" outlineLevel="0" collapsed="false">
      <c r="B30" s="7" t="s">
        <v>71</v>
      </c>
      <c r="C30" s="28" t="n">
        <v>0.005</v>
      </c>
      <c r="D30" s="29" t="n">
        <f aca="false">C35*C30</f>
        <v>13875</v>
      </c>
      <c r="E30" s="23" t="s">
        <v>72</v>
      </c>
    </row>
    <row r="31" customFormat="false" ht="15" hidden="false" customHeight="false" outlineLevel="0" collapsed="false">
      <c r="B31" s="7" t="s">
        <v>73</v>
      </c>
      <c r="C31" s="28" t="n">
        <v>0.025</v>
      </c>
      <c r="D31" s="22"/>
      <c r="E31" s="22"/>
    </row>
    <row r="32" customFormat="false" ht="15" hidden="false" customHeight="false" outlineLevel="0" collapsed="false">
      <c r="B32" s="7" t="s">
        <v>74</v>
      </c>
      <c r="C32" s="28" t="n">
        <v>0.0375</v>
      </c>
      <c r="D32" s="22"/>
      <c r="E32" s="22"/>
    </row>
    <row r="33" customFormat="false" ht="15" hidden="false" customHeight="false" outlineLevel="0" collapsed="false">
      <c r="B33" s="7" t="s">
        <v>75</v>
      </c>
      <c r="C33" s="30" t="n">
        <f aca="false">C31+C32</f>
        <v>0.0625</v>
      </c>
      <c r="D33" s="22"/>
      <c r="E33" s="22"/>
    </row>
    <row r="34" customFormat="false" ht="15" hidden="false" customHeight="false" outlineLevel="0" collapsed="false">
      <c r="B34" s="7" t="s">
        <v>76</v>
      </c>
      <c r="C34" s="28" t="n">
        <v>0</v>
      </c>
      <c r="D34" s="29" t="n">
        <f aca="false">C35*C34</f>
        <v>0</v>
      </c>
      <c r="E34" s="23" t="s">
        <v>77</v>
      </c>
    </row>
    <row r="35" customFormat="false" ht="15" hidden="false" customHeight="false" outlineLevel="0" collapsed="false">
      <c r="B35" s="7" t="s">
        <v>78</v>
      </c>
      <c r="C35" s="29" t="n">
        <f aca="false">IF(C27="Unlevered (REL 100%)",0,MIN(C29,C14))</f>
        <v>2775000</v>
      </c>
      <c r="D35" s="22"/>
      <c r="E35" s="23" t="s">
        <v>79</v>
      </c>
    </row>
    <row r="36" customFormat="false" ht="15" hidden="false" customHeight="false" outlineLevel="0" collapsed="false">
      <c r="B36" s="7" t="s">
        <v>80</v>
      </c>
      <c r="C36" s="29" t="n">
        <f aca="false">C14-C35</f>
        <v>925000</v>
      </c>
      <c r="D36" s="22"/>
      <c r="E36" s="23" t="s">
        <v>81</v>
      </c>
    </row>
    <row r="38" customFormat="false" ht="15" hidden="false" customHeight="false" outlineLevel="0" collapsed="false">
      <c r="B38" s="19" t="s">
        <v>82</v>
      </c>
      <c r="C38" s="20"/>
      <c r="D38" s="20"/>
      <c r="E38" s="20"/>
    </row>
    <row r="39" customFormat="false" ht="15" hidden="false" customHeight="false" outlineLevel="0" collapsed="false">
      <c r="B39" s="7" t="s">
        <v>83</v>
      </c>
      <c r="C39" s="27" t="n">
        <v>6175000</v>
      </c>
      <c r="D39" s="22"/>
      <c r="E39" s="22"/>
    </row>
    <row r="40" customFormat="false" ht="15" hidden="false" customHeight="false" outlineLevel="0" collapsed="false">
      <c r="B40" s="7" t="s">
        <v>84</v>
      </c>
      <c r="C40" s="27" t="n">
        <v>4355000</v>
      </c>
      <c r="D40" s="22"/>
      <c r="E40" s="22"/>
    </row>
    <row r="41" customFormat="false" ht="15" hidden="false" customHeight="false" outlineLevel="0" collapsed="false">
      <c r="B41" s="7" t="s">
        <v>85</v>
      </c>
      <c r="C41" s="27" t="n">
        <v>4200000</v>
      </c>
      <c r="D41" s="22"/>
      <c r="E41" s="23" t="s">
        <v>86</v>
      </c>
    </row>
    <row r="42" customFormat="false" ht="15" hidden="false" customHeight="false" outlineLevel="0" collapsed="false">
      <c r="B42" s="7" t="s">
        <v>87</v>
      </c>
      <c r="C42" s="25"/>
      <c r="D42" s="22"/>
      <c r="E42" s="23" t="s">
        <v>88</v>
      </c>
    </row>
    <row r="43" customFormat="false" ht="15" hidden="false" customHeight="false" outlineLevel="0" collapsed="false">
      <c r="B43" s="7" t="s">
        <v>89</v>
      </c>
      <c r="C43" s="25" t="n">
        <v>16</v>
      </c>
      <c r="D43" s="22"/>
      <c r="E43" s="23" t="s">
        <v>90</v>
      </c>
    </row>
    <row r="44" customFormat="false" ht="15" hidden="false" customHeight="false" outlineLevel="0" collapsed="false">
      <c r="B44" s="7" t="s">
        <v>91</v>
      </c>
      <c r="C44" s="25" t="n">
        <v>0</v>
      </c>
      <c r="D44" s="22"/>
      <c r="E44" s="23" t="s">
        <v>92</v>
      </c>
    </row>
    <row r="45" customFormat="false" ht="15" hidden="false" customHeight="false" outlineLevel="0" collapsed="false">
      <c r="B45" s="7" t="s">
        <v>93</v>
      </c>
      <c r="C45" s="27" t="n">
        <v>461452</v>
      </c>
      <c r="D45" s="22"/>
      <c r="E45" s="23" t="s">
        <v>94</v>
      </c>
    </row>
  </sheetData>
  <dataValidations count="4">
    <dataValidation allowBlank="true" errorStyle="stop" operator="between" showDropDown="false" showErrorMessage="false" showInputMessage="false" sqref="C8" type="list">
      <formula1>"Residential,Commercial,Mixed-Use,Office,Industrial,Hotel / Leisure,Land"</formula1>
      <formula2>0</formula2>
    </dataValidation>
    <dataValidation allowBlank="true" errorStyle="stop" operator="between" showDropDown="false" showErrorMessage="false" showInputMessage="false" sqref="C9" type="list">
      <formula1>"Bridge,Development,Refurbishment,Mezzanine,Term"</formula1>
      <formula2>0</formula2>
    </dataValidation>
    <dataValidation allowBlank="true" errorStyle="stop" operator="between" showDropDown="false" showErrorMessage="false" showInputMessage="false" sqref="C22" type="list">
      <formula1>"Serviced Monthly,Retained (Reserve)"</formula1>
      <formula2>0</formula2>
    </dataValidation>
    <dataValidation allowBlank="true" errorStyle="stop" operator="between" showDropDown="false" showErrorMessage="false" showInputMessage="false" sqref="C27" type="list">
      <formula1>"Senior Funder + REL Junior,Unlevered (REL 100%)"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3864"/>
    <pageSetUpPr fitToPage="false"/>
  </sheetPr>
  <dimension ref="A1:W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4" min="4" style="0" width="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2"/>
    <col collapsed="false" customWidth="true" hidden="false" outlineLevel="0" max="11" min="11" style="0" width="3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6" min="14" style="0" width="13"/>
    <col collapsed="false" customWidth="true" hidden="false" outlineLevel="0" max="17" min="17" style="0" width="2"/>
    <col collapsed="false" customWidth="true" hidden="false" outlineLevel="0" max="18" min="18" style="0" width="32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3" min="21" style="0" width="13"/>
  </cols>
  <sheetData>
    <row r="1" customFormat="false" ht="16.15" hidden="false" customHeight="false" outlineLevel="0" collapsed="false">
      <c r="B1" s="17" t="s">
        <v>95</v>
      </c>
    </row>
    <row r="2" customFormat="false" ht="15" hidden="false" customHeight="false" outlineLevel="0" collapsed="false">
      <c r="B2" s="31" t="str">
        <f aca="false">Inputs!C6&amp;"  |  "&amp;Inputs!C8&amp;"  |  Term: "&amp;Inputs!C11&amp;" months"</f>
        <v>Housing First Group  |  Residential  |  Term: 24 months</v>
      </c>
    </row>
    <row r="4" customFormat="false" ht="15" hidden="false" customHeight="false" outlineLevel="0" collapsed="false">
      <c r="B4" s="19" t="s">
        <v>96</v>
      </c>
      <c r="C4" s="20"/>
      <c r="D4" s="20"/>
      <c r="E4" s="20"/>
      <c r="F4" s="20"/>
      <c r="G4" s="20"/>
      <c r="H4" s="20"/>
    </row>
    <row r="5" customFormat="false" ht="15" hidden="false" customHeight="false" outlineLevel="0" collapsed="false">
      <c r="C5" s="32" t="s">
        <v>97</v>
      </c>
      <c r="G5" s="33" t="n">
        <f aca="false">Inputs!$C$14</f>
        <v>3700000</v>
      </c>
    </row>
    <row r="6" customFormat="false" ht="15" hidden="false" customHeight="false" outlineLevel="0" collapsed="false">
      <c r="C6" s="32" t="str">
        <f aca="false">"Less: Arrangement fee ("&amp;TEXT(Inputs!$C$15,"0.00%")&amp;")"</f>
        <v>Less: Arrangement fee (1.00%)</v>
      </c>
      <c r="G6" s="33" t="n">
        <f aca="false">-Inputs!$D$15</f>
        <v>-37000</v>
      </c>
    </row>
    <row r="7" customFormat="false" ht="15" hidden="false" customHeight="false" outlineLevel="0" collapsed="false">
      <c r="C7" s="32" t="str">
        <f aca="false">"Less: Broker fee ("&amp;TEXT(Inputs!$C$16,"0.00%")&amp;")"</f>
        <v>Less: Broker fee (0.00%)</v>
      </c>
      <c r="G7" s="33" t="n">
        <f aca="false">-Inputs!$D$16</f>
        <v>-0</v>
      </c>
    </row>
    <row r="8" customFormat="false" ht="15" hidden="false" customHeight="false" outlineLevel="0" collapsed="false">
      <c r="C8" s="32" t="s">
        <v>98</v>
      </c>
      <c r="G8" s="33" t="n">
        <f aca="false">-Inputs!$C$18</f>
        <v>-0</v>
      </c>
    </row>
    <row r="9" customFormat="false" ht="15" hidden="false" customHeight="false" outlineLevel="0" collapsed="false">
      <c r="C9" s="32" t="s">
        <v>99</v>
      </c>
      <c r="G9" s="33" t="n">
        <f aca="false">-Inputs!$C$23</f>
        <v>-0</v>
      </c>
    </row>
    <row r="10" customFormat="false" ht="15" hidden="false" customHeight="false" outlineLevel="0" collapsed="false">
      <c r="C10" s="34" t="s">
        <v>100</v>
      </c>
      <c r="G10" s="35" t="n">
        <f aca="false">SUM(G5:G9)</f>
        <v>3663000</v>
      </c>
    </row>
    <row r="11" customFormat="false" ht="15" hidden="false" customHeight="false" outlineLevel="0" collapsed="false">
      <c r="C11" s="32" t="str">
        <f aca="false">"Exit fee due at redemption ("&amp;TEXT(Inputs!$C$17,"0.00%")&amp;")"</f>
        <v>Exit fee due at redemption (1.00%)</v>
      </c>
      <c r="G11" s="33" t="n">
        <f aca="false">Inputs!$D$17</f>
        <v>37000</v>
      </c>
    </row>
    <row r="12" customFormat="false" ht="15" hidden="false" customHeight="false" outlineLevel="0" collapsed="false">
      <c r="C12" s="34" t="s">
        <v>101</v>
      </c>
      <c r="G12" s="35" t="n">
        <f aca="false">Inputs!$C$14+Inputs!$D$17</f>
        <v>3737000</v>
      </c>
    </row>
    <row r="14" customFormat="false" ht="15" hidden="false" customHeight="false" outlineLevel="0" collapsed="false">
      <c r="B14" s="19" t="s">
        <v>102</v>
      </c>
      <c r="C14" s="20"/>
      <c r="D14" s="20"/>
      <c r="E14" s="20"/>
      <c r="F14" s="20"/>
      <c r="G14" s="20"/>
      <c r="H14" s="20"/>
      <c r="I14" s="36" t="s">
        <v>103</v>
      </c>
      <c r="K14" s="19" t="s">
        <v>104</v>
      </c>
      <c r="L14" s="20"/>
      <c r="M14" s="20"/>
      <c r="N14" s="20"/>
      <c r="O14" s="20"/>
      <c r="P14" s="20"/>
      <c r="R14" s="19" t="s">
        <v>105</v>
      </c>
      <c r="S14" s="20"/>
      <c r="T14" s="20"/>
      <c r="U14" s="20"/>
      <c r="V14" s="20"/>
      <c r="W14" s="20"/>
    </row>
    <row r="15" customFormat="false" ht="15" hidden="false" customHeight="false" outlineLevel="0" collapsed="false">
      <c r="A15" s="37" t="s">
        <v>106</v>
      </c>
      <c r="B15" s="37" t="s">
        <v>107</v>
      </c>
      <c r="C15" s="38" t="s">
        <v>108</v>
      </c>
      <c r="D15" s="37" t="s">
        <v>109</v>
      </c>
      <c r="E15" s="39" t="s">
        <v>110</v>
      </c>
      <c r="F15" s="39" t="s">
        <v>111</v>
      </c>
      <c r="G15" s="39" t="s">
        <v>112</v>
      </c>
      <c r="H15" s="39" t="s">
        <v>113</v>
      </c>
      <c r="I15" s="39" t="s">
        <v>114</v>
      </c>
      <c r="K15" s="38" t="s">
        <v>108</v>
      </c>
      <c r="L15" s="39" t="s">
        <v>110</v>
      </c>
      <c r="M15" s="39" t="s">
        <v>111</v>
      </c>
      <c r="N15" s="39" t="s">
        <v>112</v>
      </c>
      <c r="O15" s="39" t="s">
        <v>115</v>
      </c>
      <c r="P15" s="39" t="s">
        <v>114</v>
      </c>
      <c r="R15" s="38" t="s">
        <v>108</v>
      </c>
      <c r="S15" s="39" t="s">
        <v>110</v>
      </c>
      <c r="T15" s="39" t="s">
        <v>116</v>
      </c>
      <c r="U15" s="39" t="s">
        <v>112</v>
      </c>
      <c r="V15" s="39" t="s">
        <v>117</v>
      </c>
      <c r="W15" s="39" t="s">
        <v>114</v>
      </c>
    </row>
    <row r="16" customFormat="false" ht="15" hidden="false" customHeight="false" outlineLevel="0" collapsed="false">
      <c r="A16" s="40" t="n">
        <v>0</v>
      </c>
      <c r="B16" s="41" t="n">
        <f aca="false">Inputs!$C$10</f>
        <v>46235</v>
      </c>
      <c r="C16" s="42" t="s">
        <v>118</v>
      </c>
      <c r="D16" s="43"/>
      <c r="E16" s="44" t="n">
        <f aca="false">Inputs!$C$14</f>
        <v>3700000</v>
      </c>
      <c r="F16" s="44" t="n">
        <v>0</v>
      </c>
      <c r="G16" s="44" t="n">
        <f aca="false">Inputs!$D$15+Inputs!$D$16+Inputs!$C$18+Inputs!$C$23</f>
        <v>37000</v>
      </c>
      <c r="H16" s="44" t="n">
        <f aca="false">IF($A16&lt;Inputs!$C$11,Inputs!$C$14,0)</f>
        <v>3700000</v>
      </c>
      <c r="I16" s="44" t="n">
        <f aca="false">-(Inputs!$C$14-Inputs!$D$15-Inputs!$C$18-Inputs!$C$23)</f>
        <v>-3663000</v>
      </c>
      <c r="K16" s="42" t="str">
        <f aca="false">"Drawdown from "&amp;Inputs!$C$28&amp;" (less arrangement fee)"</f>
        <v>Drawdown from GB Bank (less arrangement fee)</v>
      </c>
      <c r="L16" s="44" t="n">
        <f aca="false">Inputs!$D$30</f>
        <v>13875</v>
      </c>
      <c r="M16" s="44" t="n">
        <v>0</v>
      </c>
      <c r="N16" s="44" t="n">
        <f aca="false">Inputs!$C$35</f>
        <v>2775000</v>
      </c>
      <c r="O16" s="44" t="n">
        <f aca="false">IF($A16&lt;Inputs!$C$11,Inputs!$C$35,0)</f>
        <v>2775000</v>
      </c>
      <c r="P16" s="44" t="n">
        <f aca="false">N16-L16</f>
        <v>2761125</v>
      </c>
      <c r="R16" s="42" t="s">
        <v>119</v>
      </c>
      <c r="S16" s="44" t="n">
        <f aca="false">(Inputs!$C$14-Inputs!$D$15-Inputs!$C$18-Inputs!$C$23)+Inputs!$D$30</f>
        <v>3676875</v>
      </c>
      <c r="T16" s="44" t="n">
        <v>0</v>
      </c>
      <c r="U16" s="44" t="n">
        <f aca="false">Inputs!$C$35</f>
        <v>2775000</v>
      </c>
      <c r="V16" s="44" t="n">
        <f aca="false">IF($A16&lt;Inputs!$C$11,Inputs!$C$36,0)</f>
        <v>925000</v>
      </c>
      <c r="W16" s="44" t="n">
        <f aca="false">U16-S16</f>
        <v>-901875</v>
      </c>
    </row>
    <row r="17" customFormat="false" ht="15" hidden="false" customHeight="false" outlineLevel="0" collapsed="false">
      <c r="A17" s="40" t="n">
        <v>1</v>
      </c>
      <c r="B17" s="41" t="n">
        <f aca="false">EDATE($B$16,1)</f>
        <v>46266</v>
      </c>
      <c r="C17" s="42" t="str">
        <f aca="false">IF($A17&gt;Inputs!$C$11,"",IF($A17=Inputs!$C$11,"Interest + exit fee + redemption","Interest"))</f>
        <v>Interest</v>
      </c>
      <c r="D17" s="45" t="n">
        <f aca="false">IF($A17&gt;Inputs!$C$11,"",B17-B16)</f>
        <v>31</v>
      </c>
      <c r="E17" s="44" t="n">
        <v>0</v>
      </c>
      <c r="F17" s="44" t="n">
        <f aca="false">IF($A17&lt;=Inputs!$C$11,Inputs!$C$14*Inputs!$C$21*D17/365,0)</f>
        <v>25925.3424657534</v>
      </c>
      <c r="G17" s="44" t="n">
        <f aca="false">IF(Inputs!$C$22="Serviced Monthly",F17,0)+IF($A17=Inputs!$C$11,Inputs!$C$14+Inputs!$D$17,0)</f>
        <v>25925.3424657534</v>
      </c>
      <c r="H17" s="44" t="n">
        <f aca="false">IF($A17&lt;Inputs!$C$11,Inputs!$C$14,0)</f>
        <v>3700000</v>
      </c>
      <c r="I17" s="44" t="n">
        <f aca="false">G17</f>
        <v>25925.3424657534</v>
      </c>
      <c r="K17" s="42" t="str">
        <f aca="false">IF($A17&gt;Inputs!$C$11,"",IF($A17=Inputs!$C$11,"Repay senior + interest + exit fee","Senior interest"))</f>
        <v>Senior interest</v>
      </c>
      <c r="L17" s="44" t="n">
        <f aca="false">M17+IF($A17=Inputs!$C$11,Inputs!$C$35+Inputs!$D$34,0)</f>
        <v>14730.3082191781</v>
      </c>
      <c r="M17" s="44" t="n">
        <f aca="false">IF($A17&lt;=Inputs!$C$11,Inputs!$C$35*Inputs!$C$33*D17/365,0)</f>
        <v>14730.3082191781</v>
      </c>
      <c r="N17" s="44" t="n">
        <v>0</v>
      </c>
      <c r="O17" s="44" t="n">
        <f aca="false">IF($A17&lt;Inputs!$C$11,Inputs!$C$35,0)</f>
        <v>2775000</v>
      </c>
      <c r="P17" s="44" t="n">
        <f aca="false">N17-L17</f>
        <v>-14730.3082191781</v>
      </c>
      <c r="R17" s="42" t="str">
        <f aca="false">IF($A17&gt;Inputs!$C$11,"",IF($A17=Inputs!$C$11,"Redemption received / senior repaid","Net interest margin"))</f>
        <v>Net interest margin</v>
      </c>
      <c r="S17" s="44" t="n">
        <f aca="false">L17</f>
        <v>14730.3082191781</v>
      </c>
      <c r="T17" s="44" t="n">
        <f aca="false">F17-M17</f>
        <v>11195.0342465753</v>
      </c>
      <c r="U17" s="44" t="n">
        <f aca="false">G17</f>
        <v>25925.3424657534</v>
      </c>
      <c r="V17" s="44" t="n">
        <f aca="false">IF($A17&lt;Inputs!$C$11,Inputs!$C$36,0)</f>
        <v>925000</v>
      </c>
      <c r="W17" s="44" t="n">
        <f aca="false">U17-S17</f>
        <v>11195.0342465753</v>
      </c>
    </row>
    <row r="18" customFormat="false" ht="15" hidden="false" customHeight="false" outlineLevel="0" collapsed="false">
      <c r="A18" s="40" t="n">
        <v>2</v>
      </c>
      <c r="B18" s="41" t="n">
        <f aca="false">EDATE($B$16,2)</f>
        <v>46296</v>
      </c>
      <c r="C18" s="42" t="str">
        <f aca="false">IF($A18&gt;Inputs!$C$11,"",IF($A18=Inputs!$C$11,"Interest + exit fee + redemption","Interest"))</f>
        <v>Interest</v>
      </c>
      <c r="D18" s="45" t="n">
        <f aca="false">IF($A18&gt;Inputs!$C$11,"",B18-B17)</f>
        <v>30</v>
      </c>
      <c r="E18" s="44" t="n">
        <v>0</v>
      </c>
      <c r="F18" s="44" t="n">
        <f aca="false">IF($A18&lt;=Inputs!$C$11,Inputs!$C$14*Inputs!$C$21*D18/365,0)</f>
        <v>25089.0410958904</v>
      </c>
      <c r="G18" s="44" t="n">
        <f aca="false">IF(Inputs!$C$22="Serviced Monthly",F18,0)+IF($A18=Inputs!$C$11,Inputs!$C$14+Inputs!$D$17,0)</f>
        <v>25089.0410958904</v>
      </c>
      <c r="H18" s="44" t="n">
        <f aca="false">IF($A18&lt;Inputs!$C$11,Inputs!$C$14,0)</f>
        <v>3700000</v>
      </c>
      <c r="I18" s="44" t="n">
        <f aca="false">G18</f>
        <v>25089.0410958904</v>
      </c>
      <c r="K18" s="42" t="str">
        <f aca="false">IF($A18&gt;Inputs!$C$11,"",IF($A18=Inputs!$C$11,"Repay senior + interest + exit fee","Senior interest"))</f>
        <v>Senior interest</v>
      </c>
      <c r="L18" s="44" t="n">
        <f aca="false">M18+IF($A18=Inputs!$C$11,Inputs!$C$35+Inputs!$D$34,0)</f>
        <v>14255.1369863014</v>
      </c>
      <c r="M18" s="44" t="n">
        <f aca="false">IF($A18&lt;=Inputs!$C$11,Inputs!$C$35*Inputs!$C$33*D18/365,0)</f>
        <v>14255.1369863014</v>
      </c>
      <c r="N18" s="44" t="n">
        <v>0</v>
      </c>
      <c r="O18" s="44" t="n">
        <f aca="false">IF($A18&lt;Inputs!$C$11,Inputs!$C$35,0)</f>
        <v>2775000</v>
      </c>
      <c r="P18" s="44" t="n">
        <f aca="false">N18-L18</f>
        <v>-14255.1369863014</v>
      </c>
      <c r="R18" s="42" t="str">
        <f aca="false">IF($A18&gt;Inputs!$C$11,"",IF($A18=Inputs!$C$11,"Redemption received / senior repaid","Net interest margin"))</f>
        <v>Net interest margin</v>
      </c>
      <c r="S18" s="44" t="n">
        <f aca="false">L18</f>
        <v>14255.1369863014</v>
      </c>
      <c r="T18" s="44" t="n">
        <f aca="false">F18-M18</f>
        <v>10833.904109589</v>
      </c>
      <c r="U18" s="44" t="n">
        <f aca="false">G18</f>
        <v>25089.0410958904</v>
      </c>
      <c r="V18" s="44" t="n">
        <f aca="false">IF($A18&lt;Inputs!$C$11,Inputs!$C$36,0)</f>
        <v>925000</v>
      </c>
      <c r="W18" s="44" t="n">
        <f aca="false">U18-S18</f>
        <v>10833.904109589</v>
      </c>
    </row>
    <row r="19" customFormat="false" ht="15" hidden="false" customHeight="false" outlineLevel="0" collapsed="false">
      <c r="A19" s="40" t="n">
        <v>3</v>
      </c>
      <c r="B19" s="41" t="n">
        <f aca="false">EDATE($B$16,3)</f>
        <v>46327</v>
      </c>
      <c r="C19" s="42" t="str">
        <f aca="false">IF($A19&gt;Inputs!$C$11,"",IF($A19=Inputs!$C$11,"Interest + exit fee + redemption","Interest"))</f>
        <v>Interest</v>
      </c>
      <c r="D19" s="45" t="n">
        <f aca="false">IF($A19&gt;Inputs!$C$11,"",B19-B18)</f>
        <v>31</v>
      </c>
      <c r="E19" s="44" t="n">
        <v>0</v>
      </c>
      <c r="F19" s="44" t="n">
        <f aca="false">IF($A19&lt;=Inputs!$C$11,Inputs!$C$14*Inputs!$C$21*D19/365,0)</f>
        <v>25925.3424657534</v>
      </c>
      <c r="G19" s="44" t="n">
        <f aca="false">IF(Inputs!$C$22="Serviced Monthly",F19,0)+IF($A19=Inputs!$C$11,Inputs!$C$14+Inputs!$D$17,0)</f>
        <v>25925.3424657534</v>
      </c>
      <c r="H19" s="44" t="n">
        <f aca="false">IF($A19&lt;Inputs!$C$11,Inputs!$C$14,0)</f>
        <v>3700000</v>
      </c>
      <c r="I19" s="44" t="n">
        <f aca="false">G19</f>
        <v>25925.3424657534</v>
      </c>
      <c r="K19" s="42" t="str">
        <f aca="false">IF($A19&gt;Inputs!$C$11,"",IF($A19=Inputs!$C$11,"Repay senior + interest + exit fee","Senior interest"))</f>
        <v>Senior interest</v>
      </c>
      <c r="L19" s="44" t="n">
        <f aca="false">M19+IF($A19=Inputs!$C$11,Inputs!$C$35+Inputs!$D$34,0)</f>
        <v>14730.3082191781</v>
      </c>
      <c r="M19" s="44" t="n">
        <f aca="false">IF($A19&lt;=Inputs!$C$11,Inputs!$C$35*Inputs!$C$33*D19/365,0)</f>
        <v>14730.3082191781</v>
      </c>
      <c r="N19" s="44" t="n">
        <v>0</v>
      </c>
      <c r="O19" s="44" t="n">
        <f aca="false">IF($A19&lt;Inputs!$C$11,Inputs!$C$35,0)</f>
        <v>2775000</v>
      </c>
      <c r="P19" s="44" t="n">
        <f aca="false">N19-L19</f>
        <v>-14730.3082191781</v>
      </c>
      <c r="R19" s="42" t="str">
        <f aca="false">IF($A19&gt;Inputs!$C$11,"",IF($A19=Inputs!$C$11,"Redemption received / senior repaid","Net interest margin"))</f>
        <v>Net interest margin</v>
      </c>
      <c r="S19" s="44" t="n">
        <f aca="false">L19</f>
        <v>14730.3082191781</v>
      </c>
      <c r="T19" s="44" t="n">
        <f aca="false">F19-M19</f>
        <v>11195.0342465753</v>
      </c>
      <c r="U19" s="44" t="n">
        <f aca="false">G19</f>
        <v>25925.3424657534</v>
      </c>
      <c r="V19" s="44" t="n">
        <f aca="false">IF($A19&lt;Inputs!$C$11,Inputs!$C$36,0)</f>
        <v>925000</v>
      </c>
      <c r="W19" s="44" t="n">
        <f aca="false">U19-S19</f>
        <v>11195.0342465753</v>
      </c>
    </row>
    <row r="20" customFormat="false" ht="15" hidden="false" customHeight="false" outlineLevel="0" collapsed="false">
      <c r="A20" s="40" t="n">
        <v>4</v>
      </c>
      <c r="B20" s="41" t="n">
        <f aca="false">EDATE($B$16,4)</f>
        <v>46357</v>
      </c>
      <c r="C20" s="42" t="str">
        <f aca="false">IF($A20&gt;Inputs!$C$11,"",IF($A20=Inputs!$C$11,"Interest + exit fee + redemption","Interest"))</f>
        <v>Interest</v>
      </c>
      <c r="D20" s="45" t="n">
        <f aca="false">IF($A20&gt;Inputs!$C$11,"",B20-B19)</f>
        <v>30</v>
      </c>
      <c r="E20" s="44" t="n">
        <v>0</v>
      </c>
      <c r="F20" s="44" t="n">
        <f aca="false">IF($A20&lt;=Inputs!$C$11,Inputs!$C$14*Inputs!$C$21*D20/365,0)</f>
        <v>25089.0410958904</v>
      </c>
      <c r="G20" s="44" t="n">
        <f aca="false">IF(Inputs!$C$22="Serviced Monthly",F20,0)+IF($A20=Inputs!$C$11,Inputs!$C$14+Inputs!$D$17,0)</f>
        <v>25089.0410958904</v>
      </c>
      <c r="H20" s="44" t="n">
        <f aca="false">IF($A20&lt;Inputs!$C$11,Inputs!$C$14,0)</f>
        <v>3700000</v>
      </c>
      <c r="I20" s="44" t="n">
        <f aca="false">G20</f>
        <v>25089.0410958904</v>
      </c>
      <c r="K20" s="42" t="str">
        <f aca="false">IF($A20&gt;Inputs!$C$11,"",IF($A20=Inputs!$C$11,"Repay senior + interest + exit fee","Senior interest"))</f>
        <v>Senior interest</v>
      </c>
      <c r="L20" s="44" t="n">
        <f aca="false">M20+IF($A20=Inputs!$C$11,Inputs!$C$35+Inputs!$D$34,0)</f>
        <v>14255.1369863014</v>
      </c>
      <c r="M20" s="44" t="n">
        <f aca="false">IF($A20&lt;=Inputs!$C$11,Inputs!$C$35*Inputs!$C$33*D20/365,0)</f>
        <v>14255.1369863014</v>
      </c>
      <c r="N20" s="44" t="n">
        <v>0</v>
      </c>
      <c r="O20" s="44" t="n">
        <f aca="false">IF($A20&lt;Inputs!$C$11,Inputs!$C$35,0)</f>
        <v>2775000</v>
      </c>
      <c r="P20" s="44" t="n">
        <f aca="false">N20-L20</f>
        <v>-14255.1369863014</v>
      </c>
      <c r="R20" s="42" t="str">
        <f aca="false">IF($A20&gt;Inputs!$C$11,"",IF($A20=Inputs!$C$11,"Redemption received / senior repaid","Net interest margin"))</f>
        <v>Net interest margin</v>
      </c>
      <c r="S20" s="44" t="n">
        <f aca="false">L20</f>
        <v>14255.1369863014</v>
      </c>
      <c r="T20" s="44" t="n">
        <f aca="false">F20-M20</f>
        <v>10833.904109589</v>
      </c>
      <c r="U20" s="44" t="n">
        <f aca="false">G20</f>
        <v>25089.0410958904</v>
      </c>
      <c r="V20" s="44" t="n">
        <f aca="false">IF($A20&lt;Inputs!$C$11,Inputs!$C$36,0)</f>
        <v>925000</v>
      </c>
      <c r="W20" s="44" t="n">
        <f aca="false">U20-S20</f>
        <v>10833.904109589</v>
      </c>
    </row>
    <row r="21" customFormat="false" ht="15" hidden="false" customHeight="false" outlineLevel="0" collapsed="false">
      <c r="A21" s="40" t="n">
        <v>5</v>
      </c>
      <c r="B21" s="41" t="n">
        <f aca="false">EDATE($B$16,5)</f>
        <v>46388</v>
      </c>
      <c r="C21" s="42" t="str">
        <f aca="false">IF($A21&gt;Inputs!$C$11,"",IF($A21=Inputs!$C$11,"Interest + exit fee + redemption","Interest"))</f>
        <v>Interest</v>
      </c>
      <c r="D21" s="45" t="n">
        <f aca="false">IF($A21&gt;Inputs!$C$11,"",B21-B20)</f>
        <v>31</v>
      </c>
      <c r="E21" s="44" t="n">
        <v>0</v>
      </c>
      <c r="F21" s="44" t="n">
        <f aca="false">IF($A21&lt;=Inputs!$C$11,Inputs!$C$14*Inputs!$C$21*D21/365,0)</f>
        <v>25925.3424657534</v>
      </c>
      <c r="G21" s="44" t="n">
        <f aca="false">IF(Inputs!$C$22="Serviced Monthly",F21,0)+IF($A21=Inputs!$C$11,Inputs!$C$14+Inputs!$D$17,0)</f>
        <v>25925.3424657534</v>
      </c>
      <c r="H21" s="44" t="n">
        <f aca="false">IF($A21&lt;Inputs!$C$11,Inputs!$C$14,0)</f>
        <v>3700000</v>
      </c>
      <c r="I21" s="44" t="n">
        <f aca="false">G21</f>
        <v>25925.3424657534</v>
      </c>
      <c r="K21" s="42" t="str">
        <f aca="false">IF($A21&gt;Inputs!$C$11,"",IF($A21=Inputs!$C$11,"Repay senior + interest + exit fee","Senior interest"))</f>
        <v>Senior interest</v>
      </c>
      <c r="L21" s="44" t="n">
        <f aca="false">M21+IF($A21=Inputs!$C$11,Inputs!$C$35+Inputs!$D$34,0)</f>
        <v>14730.3082191781</v>
      </c>
      <c r="M21" s="44" t="n">
        <f aca="false">IF($A21&lt;=Inputs!$C$11,Inputs!$C$35*Inputs!$C$33*D21/365,0)</f>
        <v>14730.3082191781</v>
      </c>
      <c r="N21" s="44" t="n">
        <v>0</v>
      </c>
      <c r="O21" s="44" t="n">
        <f aca="false">IF($A21&lt;Inputs!$C$11,Inputs!$C$35,0)</f>
        <v>2775000</v>
      </c>
      <c r="P21" s="44" t="n">
        <f aca="false">N21-L21</f>
        <v>-14730.3082191781</v>
      </c>
      <c r="R21" s="42" t="str">
        <f aca="false">IF($A21&gt;Inputs!$C$11,"",IF($A21=Inputs!$C$11,"Redemption received / senior repaid","Net interest margin"))</f>
        <v>Net interest margin</v>
      </c>
      <c r="S21" s="44" t="n">
        <f aca="false">L21</f>
        <v>14730.3082191781</v>
      </c>
      <c r="T21" s="44" t="n">
        <f aca="false">F21-M21</f>
        <v>11195.0342465753</v>
      </c>
      <c r="U21" s="44" t="n">
        <f aca="false">G21</f>
        <v>25925.3424657534</v>
      </c>
      <c r="V21" s="44" t="n">
        <f aca="false">IF($A21&lt;Inputs!$C$11,Inputs!$C$36,0)</f>
        <v>925000</v>
      </c>
      <c r="W21" s="44" t="n">
        <f aca="false">U21-S21</f>
        <v>11195.0342465753</v>
      </c>
    </row>
    <row r="22" customFormat="false" ht="15" hidden="false" customHeight="false" outlineLevel="0" collapsed="false">
      <c r="A22" s="40" t="n">
        <v>6</v>
      </c>
      <c r="B22" s="41" t="n">
        <f aca="false">EDATE($B$16,6)</f>
        <v>46419</v>
      </c>
      <c r="C22" s="42" t="str">
        <f aca="false">IF($A22&gt;Inputs!$C$11,"",IF($A22=Inputs!$C$11,"Interest + exit fee + redemption","Interest"))</f>
        <v>Interest</v>
      </c>
      <c r="D22" s="45" t="n">
        <f aca="false">IF($A22&gt;Inputs!$C$11,"",B22-B21)</f>
        <v>31</v>
      </c>
      <c r="E22" s="44" t="n">
        <v>0</v>
      </c>
      <c r="F22" s="44" t="n">
        <f aca="false">IF($A22&lt;=Inputs!$C$11,Inputs!$C$14*Inputs!$C$21*D22/365,0)</f>
        <v>25925.3424657534</v>
      </c>
      <c r="G22" s="44" t="n">
        <f aca="false">IF(Inputs!$C$22="Serviced Monthly",F22,0)+IF($A22=Inputs!$C$11,Inputs!$C$14+Inputs!$D$17,0)</f>
        <v>25925.3424657534</v>
      </c>
      <c r="H22" s="44" t="n">
        <f aca="false">IF($A22&lt;Inputs!$C$11,Inputs!$C$14,0)</f>
        <v>3700000</v>
      </c>
      <c r="I22" s="44" t="n">
        <f aca="false">G22</f>
        <v>25925.3424657534</v>
      </c>
      <c r="K22" s="42" t="str">
        <f aca="false">IF($A22&gt;Inputs!$C$11,"",IF($A22=Inputs!$C$11,"Repay senior + interest + exit fee","Senior interest"))</f>
        <v>Senior interest</v>
      </c>
      <c r="L22" s="44" t="n">
        <f aca="false">M22+IF($A22=Inputs!$C$11,Inputs!$C$35+Inputs!$D$34,0)</f>
        <v>14730.3082191781</v>
      </c>
      <c r="M22" s="44" t="n">
        <f aca="false">IF($A22&lt;=Inputs!$C$11,Inputs!$C$35*Inputs!$C$33*D22/365,0)</f>
        <v>14730.3082191781</v>
      </c>
      <c r="N22" s="44" t="n">
        <v>0</v>
      </c>
      <c r="O22" s="44" t="n">
        <f aca="false">IF($A22&lt;Inputs!$C$11,Inputs!$C$35,0)</f>
        <v>2775000</v>
      </c>
      <c r="P22" s="44" t="n">
        <f aca="false">N22-L22</f>
        <v>-14730.3082191781</v>
      </c>
      <c r="R22" s="42" t="str">
        <f aca="false">IF($A22&gt;Inputs!$C$11,"",IF($A22=Inputs!$C$11,"Redemption received / senior repaid","Net interest margin"))</f>
        <v>Net interest margin</v>
      </c>
      <c r="S22" s="44" t="n">
        <f aca="false">L22</f>
        <v>14730.3082191781</v>
      </c>
      <c r="T22" s="44" t="n">
        <f aca="false">F22-M22</f>
        <v>11195.0342465753</v>
      </c>
      <c r="U22" s="44" t="n">
        <f aca="false">G22</f>
        <v>25925.3424657534</v>
      </c>
      <c r="V22" s="44" t="n">
        <f aca="false">IF($A22&lt;Inputs!$C$11,Inputs!$C$36,0)</f>
        <v>925000</v>
      </c>
      <c r="W22" s="44" t="n">
        <f aca="false">U22-S22</f>
        <v>11195.0342465753</v>
      </c>
    </row>
    <row r="23" customFormat="false" ht="15" hidden="false" customHeight="false" outlineLevel="0" collapsed="false">
      <c r="A23" s="40" t="n">
        <v>7</v>
      </c>
      <c r="B23" s="41" t="n">
        <f aca="false">EDATE($B$16,7)</f>
        <v>46447</v>
      </c>
      <c r="C23" s="42" t="str">
        <f aca="false">IF($A23&gt;Inputs!$C$11,"",IF($A23=Inputs!$C$11,"Interest + exit fee + redemption","Interest"))</f>
        <v>Interest</v>
      </c>
      <c r="D23" s="45" t="n">
        <f aca="false">IF($A23&gt;Inputs!$C$11,"",B23-B22)</f>
        <v>28</v>
      </c>
      <c r="E23" s="44" t="n">
        <v>0</v>
      </c>
      <c r="F23" s="44" t="n">
        <f aca="false">IF($A23&lt;=Inputs!$C$11,Inputs!$C$14*Inputs!$C$21*D23/365,0)</f>
        <v>23416.4383561644</v>
      </c>
      <c r="G23" s="44" t="n">
        <f aca="false">IF(Inputs!$C$22="Serviced Monthly",F23,0)+IF($A23=Inputs!$C$11,Inputs!$C$14+Inputs!$D$17,0)</f>
        <v>23416.4383561644</v>
      </c>
      <c r="H23" s="44" t="n">
        <f aca="false">IF($A23&lt;Inputs!$C$11,Inputs!$C$14,0)</f>
        <v>3700000</v>
      </c>
      <c r="I23" s="44" t="n">
        <f aca="false">G23</f>
        <v>23416.4383561644</v>
      </c>
      <c r="K23" s="42" t="str">
        <f aca="false">IF($A23&gt;Inputs!$C$11,"",IF($A23=Inputs!$C$11,"Repay senior + interest + exit fee","Senior interest"))</f>
        <v>Senior interest</v>
      </c>
      <c r="L23" s="44" t="n">
        <f aca="false">M23+IF($A23=Inputs!$C$11,Inputs!$C$35+Inputs!$D$34,0)</f>
        <v>13304.7945205479</v>
      </c>
      <c r="M23" s="44" t="n">
        <f aca="false">IF($A23&lt;=Inputs!$C$11,Inputs!$C$35*Inputs!$C$33*D23/365,0)</f>
        <v>13304.7945205479</v>
      </c>
      <c r="N23" s="44" t="n">
        <v>0</v>
      </c>
      <c r="O23" s="44" t="n">
        <f aca="false">IF($A23&lt;Inputs!$C$11,Inputs!$C$35,0)</f>
        <v>2775000</v>
      </c>
      <c r="P23" s="44" t="n">
        <f aca="false">N23-L23</f>
        <v>-13304.7945205479</v>
      </c>
      <c r="R23" s="42" t="str">
        <f aca="false">IF($A23&gt;Inputs!$C$11,"",IF($A23=Inputs!$C$11,"Redemption received / senior repaid","Net interest margin"))</f>
        <v>Net interest margin</v>
      </c>
      <c r="S23" s="44" t="n">
        <f aca="false">L23</f>
        <v>13304.7945205479</v>
      </c>
      <c r="T23" s="44" t="n">
        <f aca="false">F23-M23</f>
        <v>10111.6438356164</v>
      </c>
      <c r="U23" s="44" t="n">
        <f aca="false">G23</f>
        <v>23416.4383561644</v>
      </c>
      <c r="V23" s="44" t="n">
        <f aca="false">IF($A23&lt;Inputs!$C$11,Inputs!$C$36,0)</f>
        <v>925000</v>
      </c>
      <c r="W23" s="44" t="n">
        <f aca="false">U23-S23</f>
        <v>10111.6438356164</v>
      </c>
    </row>
    <row r="24" customFormat="false" ht="15" hidden="false" customHeight="false" outlineLevel="0" collapsed="false">
      <c r="A24" s="40" t="n">
        <v>8</v>
      </c>
      <c r="B24" s="41" t="n">
        <f aca="false">EDATE($B$16,8)</f>
        <v>46478</v>
      </c>
      <c r="C24" s="42" t="str">
        <f aca="false">IF($A24&gt;Inputs!$C$11,"",IF($A24=Inputs!$C$11,"Interest + exit fee + redemption","Interest"))</f>
        <v>Interest</v>
      </c>
      <c r="D24" s="45" t="n">
        <f aca="false">IF($A24&gt;Inputs!$C$11,"",B24-B23)</f>
        <v>31</v>
      </c>
      <c r="E24" s="44" t="n">
        <v>0</v>
      </c>
      <c r="F24" s="44" t="n">
        <f aca="false">IF($A24&lt;=Inputs!$C$11,Inputs!$C$14*Inputs!$C$21*D24/365,0)</f>
        <v>25925.3424657534</v>
      </c>
      <c r="G24" s="44" t="n">
        <f aca="false">IF(Inputs!$C$22="Serviced Monthly",F24,0)+IF($A24=Inputs!$C$11,Inputs!$C$14+Inputs!$D$17,0)</f>
        <v>25925.3424657534</v>
      </c>
      <c r="H24" s="44" t="n">
        <f aca="false">IF($A24&lt;Inputs!$C$11,Inputs!$C$14,0)</f>
        <v>3700000</v>
      </c>
      <c r="I24" s="44" t="n">
        <f aca="false">G24</f>
        <v>25925.3424657534</v>
      </c>
      <c r="K24" s="42" t="str">
        <f aca="false">IF($A24&gt;Inputs!$C$11,"",IF($A24=Inputs!$C$11,"Repay senior + interest + exit fee","Senior interest"))</f>
        <v>Senior interest</v>
      </c>
      <c r="L24" s="44" t="n">
        <f aca="false">M24+IF($A24=Inputs!$C$11,Inputs!$C$35+Inputs!$D$34,0)</f>
        <v>14730.3082191781</v>
      </c>
      <c r="M24" s="44" t="n">
        <f aca="false">IF($A24&lt;=Inputs!$C$11,Inputs!$C$35*Inputs!$C$33*D24/365,0)</f>
        <v>14730.3082191781</v>
      </c>
      <c r="N24" s="44" t="n">
        <v>0</v>
      </c>
      <c r="O24" s="44" t="n">
        <f aca="false">IF($A24&lt;Inputs!$C$11,Inputs!$C$35,0)</f>
        <v>2775000</v>
      </c>
      <c r="P24" s="44" t="n">
        <f aca="false">N24-L24</f>
        <v>-14730.3082191781</v>
      </c>
      <c r="R24" s="42" t="str">
        <f aca="false">IF($A24&gt;Inputs!$C$11,"",IF($A24=Inputs!$C$11,"Redemption received / senior repaid","Net interest margin"))</f>
        <v>Net interest margin</v>
      </c>
      <c r="S24" s="44" t="n">
        <f aca="false">L24</f>
        <v>14730.3082191781</v>
      </c>
      <c r="T24" s="44" t="n">
        <f aca="false">F24-M24</f>
        <v>11195.0342465753</v>
      </c>
      <c r="U24" s="44" t="n">
        <f aca="false">G24</f>
        <v>25925.3424657534</v>
      </c>
      <c r="V24" s="44" t="n">
        <f aca="false">IF($A24&lt;Inputs!$C$11,Inputs!$C$36,0)</f>
        <v>925000</v>
      </c>
      <c r="W24" s="44" t="n">
        <f aca="false">U24-S24</f>
        <v>11195.0342465753</v>
      </c>
    </row>
    <row r="25" customFormat="false" ht="15" hidden="false" customHeight="false" outlineLevel="0" collapsed="false">
      <c r="A25" s="40" t="n">
        <v>9</v>
      </c>
      <c r="B25" s="41" t="n">
        <f aca="false">EDATE($B$16,9)</f>
        <v>46508</v>
      </c>
      <c r="C25" s="42" t="str">
        <f aca="false">IF($A25&gt;Inputs!$C$11,"",IF($A25=Inputs!$C$11,"Interest + exit fee + redemption","Interest"))</f>
        <v>Interest</v>
      </c>
      <c r="D25" s="45" t="n">
        <f aca="false">IF($A25&gt;Inputs!$C$11,"",B25-B24)</f>
        <v>30</v>
      </c>
      <c r="E25" s="44" t="n">
        <v>0</v>
      </c>
      <c r="F25" s="44" t="n">
        <f aca="false">IF($A25&lt;=Inputs!$C$11,Inputs!$C$14*Inputs!$C$21*D25/365,0)</f>
        <v>25089.0410958904</v>
      </c>
      <c r="G25" s="44" t="n">
        <f aca="false">IF(Inputs!$C$22="Serviced Monthly",F25,0)+IF($A25=Inputs!$C$11,Inputs!$C$14+Inputs!$D$17,0)</f>
        <v>25089.0410958904</v>
      </c>
      <c r="H25" s="44" t="n">
        <f aca="false">IF($A25&lt;Inputs!$C$11,Inputs!$C$14,0)</f>
        <v>3700000</v>
      </c>
      <c r="I25" s="44" t="n">
        <f aca="false">G25</f>
        <v>25089.0410958904</v>
      </c>
      <c r="K25" s="42" t="str">
        <f aca="false">IF($A25&gt;Inputs!$C$11,"",IF($A25=Inputs!$C$11,"Repay senior + interest + exit fee","Senior interest"))</f>
        <v>Senior interest</v>
      </c>
      <c r="L25" s="44" t="n">
        <f aca="false">M25+IF($A25=Inputs!$C$11,Inputs!$C$35+Inputs!$D$34,0)</f>
        <v>14255.1369863014</v>
      </c>
      <c r="M25" s="44" t="n">
        <f aca="false">IF($A25&lt;=Inputs!$C$11,Inputs!$C$35*Inputs!$C$33*D25/365,0)</f>
        <v>14255.1369863014</v>
      </c>
      <c r="N25" s="44" t="n">
        <v>0</v>
      </c>
      <c r="O25" s="44" t="n">
        <f aca="false">IF($A25&lt;Inputs!$C$11,Inputs!$C$35,0)</f>
        <v>2775000</v>
      </c>
      <c r="P25" s="44" t="n">
        <f aca="false">N25-L25</f>
        <v>-14255.1369863014</v>
      </c>
      <c r="R25" s="42" t="str">
        <f aca="false">IF($A25&gt;Inputs!$C$11,"",IF($A25=Inputs!$C$11,"Redemption received / senior repaid","Net interest margin"))</f>
        <v>Net interest margin</v>
      </c>
      <c r="S25" s="44" t="n">
        <f aca="false">L25</f>
        <v>14255.1369863014</v>
      </c>
      <c r="T25" s="44" t="n">
        <f aca="false">F25-M25</f>
        <v>10833.904109589</v>
      </c>
      <c r="U25" s="44" t="n">
        <f aca="false">G25</f>
        <v>25089.0410958904</v>
      </c>
      <c r="V25" s="44" t="n">
        <f aca="false">IF($A25&lt;Inputs!$C$11,Inputs!$C$36,0)</f>
        <v>925000</v>
      </c>
      <c r="W25" s="44" t="n">
        <f aca="false">U25-S25</f>
        <v>10833.904109589</v>
      </c>
    </row>
    <row r="26" customFormat="false" ht="15" hidden="false" customHeight="false" outlineLevel="0" collapsed="false">
      <c r="A26" s="40" t="n">
        <v>10</v>
      </c>
      <c r="B26" s="41" t="n">
        <f aca="false">EDATE($B$16,10)</f>
        <v>46539</v>
      </c>
      <c r="C26" s="42" t="str">
        <f aca="false">IF($A26&gt;Inputs!$C$11,"",IF($A26=Inputs!$C$11,"Interest + exit fee + redemption","Interest"))</f>
        <v>Interest</v>
      </c>
      <c r="D26" s="45" t="n">
        <f aca="false">IF($A26&gt;Inputs!$C$11,"",B26-B25)</f>
        <v>31</v>
      </c>
      <c r="E26" s="44" t="n">
        <v>0</v>
      </c>
      <c r="F26" s="44" t="n">
        <f aca="false">IF($A26&lt;=Inputs!$C$11,Inputs!$C$14*Inputs!$C$21*D26/365,0)</f>
        <v>25925.3424657534</v>
      </c>
      <c r="G26" s="44" t="n">
        <f aca="false">IF(Inputs!$C$22="Serviced Monthly",F26,0)+IF($A26=Inputs!$C$11,Inputs!$C$14+Inputs!$D$17,0)</f>
        <v>25925.3424657534</v>
      </c>
      <c r="H26" s="44" t="n">
        <f aca="false">IF($A26&lt;Inputs!$C$11,Inputs!$C$14,0)</f>
        <v>3700000</v>
      </c>
      <c r="I26" s="44" t="n">
        <f aca="false">G26</f>
        <v>25925.3424657534</v>
      </c>
      <c r="K26" s="42" t="str">
        <f aca="false">IF($A26&gt;Inputs!$C$11,"",IF($A26=Inputs!$C$11,"Repay senior + interest + exit fee","Senior interest"))</f>
        <v>Senior interest</v>
      </c>
      <c r="L26" s="44" t="n">
        <f aca="false">M26+IF($A26=Inputs!$C$11,Inputs!$C$35+Inputs!$D$34,0)</f>
        <v>14730.3082191781</v>
      </c>
      <c r="M26" s="44" t="n">
        <f aca="false">IF($A26&lt;=Inputs!$C$11,Inputs!$C$35*Inputs!$C$33*D26/365,0)</f>
        <v>14730.3082191781</v>
      </c>
      <c r="N26" s="44" t="n">
        <v>0</v>
      </c>
      <c r="O26" s="44" t="n">
        <f aca="false">IF($A26&lt;Inputs!$C$11,Inputs!$C$35,0)</f>
        <v>2775000</v>
      </c>
      <c r="P26" s="44" t="n">
        <f aca="false">N26-L26</f>
        <v>-14730.3082191781</v>
      </c>
      <c r="R26" s="42" t="str">
        <f aca="false">IF($A26&gt;Inputs!$C$11,"",IF($A26=Inputs!$C$11,"Redemption received / senior repaid","Net interest margin"))</f>
        <v>Net interest margin</v>
      </c>
      <c r="S26" s="44" t="n">
        <f aca="false">L26</f>
        <v>14730.3082191781</v>
      </c>
      <c r="T26" s="44" t="n">
        <f aca="false">F26-M26</f>
        <v>11195.0342465753</v>
      </c>
      <c r="U26" s="44" t="n">
        <f aca="false">G26</f>
        <v>25925.3424657534</v>
      </c>
      <c r="V26" s="44" t="n">
        <f aca="false">IF($A26&lt;Inputs!$C$11,Inputs!$C$36,0)</f>
        <v>925000</v>
      </c>
      <c r="W26" s="44" t="n">
        <f aca="false">U26-S26</f>
        <v>11195.0342465753</v>
      </c>
    </row>
    <row r="27" customFormat="false" ht="15" hidden="false" customHeight="false" outlineLevel="0" collapsed="false">
      <c r="A27" s="40" t="n">
        <v>11</v>
      </c>
      <c r="B27" s="41" t="n">
        <f aca="false">EDATE($B$16,11)</f>
        <v>46569</v>
      </c>
      <c r="C27" s="42" t="str">
        <f aca="false">IF($A27&gt;Inputs!$C$11,"",IF($A27=Inputs!$C$11,"Interest + exit fee + redemption","Interest"))</f>
        <v>Interest</v>
      </c>
      <c r="D27" s="45" t="n">
        <f aca="false">IF($A27&gt;Inputs!$C$11,"",B27-B26)</f>
        <v>30</v>
      </c>
      <c r="E27" s="44" t="n">
        <v>0</v>
      </c>
      <c r="F27" s="44" t="n">
        <f aca="false">IF($A27&lt;=Inputs!$C$11,Inputs!$C$14*Inputs!$C$21*D27/365,0)</f>
        <v>25089.0410958904</v>
      </c>
      <c r="G27" s="44" t="n">
        <f aca="false">IF(Inputs!$C$22="Serviced Monthly",F27,0)+IF($A27=Inputs!$C$11,Inputs!$C$14+Inputs!$D$17,0)</f>
        <v>25089.0410958904</v>
      </c>
      <c r="H27" s="44" t="n">
        <f aca="false">IF($A27&lt;Inputs!$C$11,Inputs!$C$14,0)</f>
        <v>3700000</v>
      </c>
      <c r="I27" s="44" t="n">
        <f aca="false">G27</f>
        <v>25089.0410958904</v>
      </c>
      <c r="K27" s="42" t="str">
        <f aca="false">IF($A27&gt;Inputs!$C$11,"",IF($A27=Inputs!$C$11,"Repay senior + interest + exit fee","Senior interest"))</f>
        <v>Senior interest</v>
      </c>
      <c r="L27" s="44" t="n">
        <f aca="false">M27+IF($A27=Inputs!$C$11,Inputs!$C$35+Inputs!$D$34,0)</f>
        <v>14255.1369863014</v>
      </c>
      <c r="M27" s="44" t="n">
        <f aca="false">IF($A27&lt;=Inputs!$C$11,Inputs!$C$35*Inputs!$C$33*D27/365,0)</f>
        <v>14255.1369863014</v>
      </c>
      <c r="N27" s="44" t="n">
        <v>0</v>
      </c>
      <c r="O27" s="44" t="n">
        <f aca="false">IF($A27&lt;Inputs!$C$11,Inputs!$C$35,0)</f>
        <v>2775000</v>
      </c>
      <c r="P27" s="44" t="n">
        <f aca="false">N27-L27</f>
        <v>-14255.1369863014</v>
      </c>
      <c r="R27" s="42" t="str">
        <f aca="false">IF($A27&gt;Inputs!$C$11,"",IF($A27=Inputs!$C$11,"Redemption received / senior repaid","Net interest margin"))</f>
        <v>Net interest margin</v>
      </c>
      <c r="S27" s="44" t="n">
        <f aca="false">L27</f>
        <v>14255.1369863014</v>
      </c>
      <c r="T27" s="44" t="n">
        <f aca="false">F27-M27</f>
        <v>10833.904109589</v>
      </c>
      <c r="U27" s="44" t="n">
        <f aca="false">G27</f>
        <v>25089.0410958904</v>
      </c>
      <c r="V27" s="44" t="n">
        <f aca="false">IF($A27&lt;Inputs!$C$11,Inputs!$C$36,0)</f>
        <v>925000</v>
      </c>
      <c r="W27" s="44" t="n">
        <f aca="false">U27-S27</f>
        <v>10833.904109589</v>
      </c>
    </row>
    <row r="28" customFormat="false" ht="15" hidden="false" customHeight="false" outlineLevel="0" collapsed="false">
      <c r="A28" s="40" t="n">
        <v>12</v>
      </c>
      <c r="B28" s="41" t="n">
        <f aca="false">EDATE($B$16,12)</f>
        <v>46600</v>
      </c>
      <c r="C28" s="42" t="str">
        <f aca="false">IF($A28&gt;Inputs!$C$11,"",IF($A28=Inputs!$C$11,"Interest + exit fee + redemption","Interest"))</f>
        <v>Interest</v>
      </c>
      <c r="D28" s="45" t="n">
        <f aca="false">IF($A28&gt;Inputs!$C$11,"",B28-B27)</f>
        <v>31</v>
      </c>
      <c r="E28" s="44" t="n">
        <v>0</v>
      </c>
      <c r="F28" s="44" t="n">
        <f aca="false">IF($A28&lt;=Inputs!$C$11,Inputs!$C$14*Inputs!$C$21*D28/365,0)</f>
        <v>25925.3424657534</v>
      </c>
      <c r="G28" s="44" t="n">
        <f aca="false">IF(Inputs!$C$22="Serviced Monthly",F28,0)+IF($A28=Inputs!$C$11,Inputs!$C$14+Inputs!$D$17,0)</f>
        <v>25925.3424657534</v>
      </c>
      <c r="H28" s="44" t="n">
        <f aca="false">IF($A28&lt;Inputs!$C$11,Inputs!$C$14,0)</f>
        <v>3700000</v>
      </c>
      <c r="I28" s="44" t="n">
        <f aca="false">G28</f>
        <v>25925.3424657534</v>
      </c>
      <c r="K28" s="42" t="str">
        <f aca="false">IF($A28&gt;Inputs!$C$11,"",IF($A28=Inputs!$C$11,"Repay senior + interest + exit fee","Senior interest"))</f>
        <v>Senior interest</v>
      </c>
      <c r="L28" s="44" t="n">
        <f aca="false">M28+IF($A28=Inputs!$C$11,Inputs!$C$35+Inputs!$D$34,0)</f>
        <v>14730.3082191781</v>
      </c>
      <c r="M28" s="44" t="n">
        <f aca="false">IF($A28&lt;=Inputs!$C$11,Inputs!$C$35*Inputs!$C$33*D28/365,0)</f>
        <v>14730.3082191781</v>
      </c>
      <c r="N28" s="44" t="n">
        <v>0</v>
      </c>
      <c r="O28" s="44" t="n">
        <f aca="false">IF($A28&lt;Inputs!$C$11,Inputs!$C$35,0)</f>
        <v>2775000</v>
      </c>
      <c r="P28" s="44" t="n">
        <f aca="false">N28-L28</f>
        <v>-14730.3082191781</v>
      </c>
      <c r="R28" s="42" t="str">
        <f aca="false">IF($A28&gt;Inputs!$C$11,"",IF($A28=Inputs!$C$11,"Redemption received / senior repaid","Net interest margin"))</f>
        <v>Net interest margin</v>
      </c>
      <c r="S28" s="44" t="n">
        <f aca="false">L28</f>
        <v>14730.3082191781</v>
      </c>
      <c r="T28" s="44" t="n">
        <f aca="false">F28-M28</f>
        <v>11195.0342465753</v>
      </c>
      <c r="U28" s="44" t="n">
        <f aca="false">G28</f>
        <v>25925.3424657534</v>
      </c>
      <c r="V28" s="44" t="n">
        <f aca="false">IF($A28&lt;Inputs!$C$11,Inputs!$C$36,0)</f>
        <v>925000</v>
      </c>
      <c r="W28" s="44" t="n">
        <f aca="false">U28-S28</f>
        <v>11195.0342465753</v>
      </c>
    </row>
    <row r="29" customFormat="false" ht="15" hidden="false" customHeight="false" outlineLevel="0" collapsed="false">
      <c r="A29" s="40" t="n">
        <v>13</v>
      </c>
      <c r="B29" s="41" t="n">
        <f aca="false">EDATE($B$16,13)</f>
        <v>46631</v>
      </c>
      <c r="C29" s="42" t="str">
        <f aca="false">IF($A29&gt;Inputs!$C$11,"",IF($A29=Inputs!$C$11,"Interest + exit fee + redemption","Interest"))</f>
        <v>Interest</v>
      </c>
      <c r="D29" s="45" t="n">
        <f aca="false">IF($A29&gt;Inputs!$C$11,"",B29-B28)</f>
        <v>31</v>
      </c>
      <c r="E29" s="44" t="n">
        <v>0</v>
      </c>
      <c r="F29" s="44" t="n">
        <f aca="false">IF($A29&lt;=Inputs!$C$11,Inputs!$C$14*Inputs!$C$21*D29/365,0)</f>
        <v>25925.3424657534</v>
      </c>
      <c r="G29" s="44" t="n">
        <f aca="false">IF(Inputs!$C$22="Serviced Monthly",F29,0)+IF($A29=Inputs!$C$11,Inputs!$C$14+Inputs!$D$17,0)</f>
        <v>25925.3424657534</v>
      </c>
      <c r="H29" s="44" t="n">
        <f aca="false">IF($A29&lt;Inputs!$C$11,Inputs!$C$14,0)</f>
        <v>3700000</v>
      </c>
      <c r="I29" s="44" t="n">
        <f aca="false">G29</f>
        <v>25925.3424657534</v>
      </c>
      <c r="K29" s="42" t="str">
        <f aca="false">IF($A29&gt;Inputs!$C$11,"",IF($A29=Inputs!$C$11,"Repay senior + interest + exit fee","Senior interest"))</f>
        <v>Senior interest</v>
      </c>
      <c r="L29" s="44" t="n">
        <f aca="false">M29+IF($A29=Inputs!$C$11,Inputs!$C$35+Inputs!$D$34,0)</f>
        <v>14730.3082191781</v>
      </c>
      <c r="M29" s="44" t="n">
        <f aca="false">IF($A29&lt;=Inputs!$C$11,Inputs!$C$35*Inputs!$C$33*D29/365,0)</f>
        <v>14730.3082191781</v>
      </c>
      <c r="N29" s="44" t="n">
        <v>0</v>
      </c>
      <c r="O29" s="44" t="n">
        <f aca="false">IF($A29&lt;Inputs!$C$11,Inputs!$C$35,0)</f>
        <v>2775000</v>
      </c>
      <c r="P29" s="44" t="n">
        <f aca="false">N29-L29</f>
        <v>-14730.3082191781</v>
      </c>
      <c r="R29" s="42" t="str">
        <f aca="false">IF($A29&gt;Inputs!$C$11,"",IF($A29=Inputs!$C$11,"Redemption received / senior repaid","Net interest margin"))</f>
        <v>Net interest margin</v>
      </c>
      <c r="S29" s="44" t="n">
        <f aca="false">L29</f>
        <v>14730.3082191781</v>
      </c>
      <c r="T29" s="44" t="n">
        <f aca="false">F29-M29</f>
        <v>11195.0342465753</v>
      </c>
      <c r="U29" s="44" t="n">
        <f aca="false">G29</f>
        <v>25925.3424657534</v>
      </c>
      <c r="V29" s="44" t="n">
        <f aca="false">IF($A29&lt;Inputs!$C$11,Inputs!$C$36,0)</f>
        <v>925000</v>
      </c>
      <c r="W29" s="44" t="n">
        <f aca="false">U29-S29</f>
        <v>11195.0342465753</v>
      </c>
    </row>
    <row r="30" customFormat="false" ht="15" hidden="false" customHeight="false" outlineLevel="0" collapsed="false">
      <c r="A30" s="40" t="n">
        <v>14</v>
      </c>
      <c r="B30" s="41" t="n">
        <f aca="false">EDATE($B$16,14)</f>
        <v>46661</v>
      </c>
      <c r="C30" s="42" t="str">
        <f aca="false">IF($A30&gt;Inputs!$C$11,"",IF($A30=Inputs!$C$11,"Interest + exit fee + redemption","Interest"))</f>
        <v>Interest</v>
      </c>
      <c r="D30" s="45" t="n">
        <f aca="false">IF($A30&gt;Inputs!$C$11,"",B30-B29)</f>
        <v>30</v>
      </c>
      <c r="E30" s="44" t="n">
        <v>0</v>
      </c>
      <c r="F30" s="44" t="n">
        <f aca="false">IF($A30&lt;=Inputs!$C$11,Inputs!$C$14*Inputs!$C$21*D30/365,0)</f>
        <v>25089.0410958904</v>
      </c>
      <c r="G30" s="44" t="n">
        <f aca="false">IF(Inputs!$C$22="Serviced Monthly",F30,0)+IF($A30=Inputs!$C$11,Inputs!$C$14+Inputs!$D$17,0)</f>
        <v>25089.0410958904</v>
      </c>
      <c r="H30" s="44" t="n">
        <f aca="false">IF($A30&lt;Inputs!$C$11,Inputs!$C$14,0)</f>
        <v>3700000</v>
      </c>
      <c r="I30" s="44" t="n">
        <f aca="false">G30</f>
        <v>25089.0410958904</v>
      </c>
      <c r="K30" s="42" t="str">
        <f aca="false">IF($A30&gt;Inputs!$C$11,"",IF($A30=Inputs!$C$11,"Repay senior + interest + exit fee","Senior interest"))</f>
        <v>Senior interest</v>
      </c>
      <c r="L30" s="44" t="n">
        <f aca="false">M30+IF($A30=Inputs!$C$11,Inputs!$C$35+Inputs!$D$34,0)</f>
        <v>14255.1369863014</v>
      </c>
      <c r="M30" s="44" t="n">
        <f aca="false">IF($A30&lt;=Inputs!$C$11,Inputs!$C$35*Inputs!$C$33*D30/365,0)</f>
        <v>14255.1369863014</v>
      </c>
      <c r="N30" s="44" t="n">
        <v>0</v>
      </c>
      <c r="O30" s="44" t="n">
        <f aca="false">IF($A30&lt;Inputs!$C$11,Inputs!$C$35,0)</f>
        <v>2775000</v>
      </c>
      <c r="P30" s="44" t="n">
        <f aca="false">N30-L30</f>
        <v>-14255.1369863014</v>
      </c>
      <c r="R30" s="42" t="str">
        <f aca="false">IF($A30&gt;Inputs!$C$11,"",IF($A30=Inputs!$C$11,"Redemption received / senior repaid","Net interest margin"))</f>
        <v>Net interest margin</v>
      </c>
      <c r="S30" s="44" t="n">
        <f aca="false">L30</f>
        <v>14255.1369863014</v>
      </c>
      <c r="T30" s="44" t="n">
        <f aca="false">F30-M30</f>
        <v>10833.904109589</v>
      </c>
      <c r="U30" s="44" t="n">
        <f aca="false">G30</f>
        <v>25089.0410958904</v>
      </c>
      <c r="V30" s="44" t="n">
        <f aca="false">IF($A30&lt;Inputs!$C$11,Inputs!$C$36,0)</f>
        <v>925000</v>
      </c>
      <c r="W30" s="44" t="n">
        <f aca="false">U30-S30</f>
        <v>10833.904109589</v>
      </c>
    </row>
    <row r="31" customFormat="false" ht="15" hidden="false" customHeight="false" outlineLevel="0" collapsed="false">
      <c r="A31" s="40" t="n">
        <v>15</v>
      </c>
      <c r="B31" s="41" t="n">
        <f aca="false">EDATE($B$16,15)</f>
        <v>46692</v>
      </c>
      <c r="C31" s="42" t="str">
        <f aca="false">IF($A31&gt;Inputs!$C$11,"",IF($A31=Inputs!$C$11,"Interest + exit fee + redemption","Interest"))</f>
        <v>Interest</v>
      </c>
      <c r="D31" s="45" t="n">
        <f aca="false">IF($A31&gt;Inputs!$C$11,"",B31-B30)</f>
        <v>31</v>
      </c>
      <c r="E31" s="44" t="n">
        <v>0</v>
      </c>
      <c r="F31" s="44" t="n">
        <f aca="false">IF($A31&lt;=Inputs!$C$11,Inputs!$C$14*Inputs!$C$21*D31/365,0)</f>
        <v>25925.3424657534</v>
      </c>
      <c r="G31" s="44" t="n">
        <f aca="false">IF(Inputs!$C$22="Serviced Monthly",F31,0)+IF($A31=Inputs!$C$11,Inputs!$C$14+Inputs!$D$17,0)</f>
        <v>25925.3424657534</v>
      </c>
      <c r="H31" s="44" t="n">
        <f aca="false">IF($A31&lt;Inputs!$C$11,Inputs!$C$14,0)</f>
        <v>3700000</v>
      </c>
      <c r="I31" s="44" t="n">
        <f aca="false">G31</f>
        <v>25925.3424657534</v>
      </c>
      <c r="K31" s="42" t="str">
        <f aca="false">IF($A31&gt;Inputs!$C$11,"",IF($A31=Inputs!$C$11,"Repay senior + interest + exit fee","Senior interest"))</f>
        <v>Senior interest</v>
      </c>
      <c r="L31" s="44" t="n">
        <f aca="false">M31+IF($A31=Inputs!$C$11,Inputs!$C$35+Inputs!$D$34,0)</f>
        <v>14730.3082191781</v>
      </c>
      <c r="M31" s="44" t="n">
        <f aca="false">IF($A31&lt;=Inputs!$C$11,Inputs!$C$35*Inputs!$C$33*D31/365,0)</f>
        <v>14730.3082191781</v>
      </c>
      <c r="N31" s="44" t="n">
        <v>0</v>
      </c>
      <c r="O31" s="44" t="n">
        <f aca="false">IF($A31&lt;Inputs!$C$11,Inputs!$C$35,0)</f>
        <v>2775000</v>
      </c>
      <c r="P31" s="44" t="n">
        <f aca="false">N31-L31</f>
        <v>-14730.3082191781</v>
      </c>
      <c r="R31" s="42" t="str">
        <f aca="false">IF($A31&gt;Inputs!$C$11,"",IF($A31=Inputs!$C$11,"Redemption received / senior repaid","Net interest margin"))</f>
        <v>Net interest margin</v>
      </c>
      <c r="S31" s="44" t="n">
        <f aca="false">L31</f>
        <v>14730.3082191781</v>
      </c>
      <c r="T31" s="44" t="n">
        <f aca="false">F31-M31</f>
        <v>11195.0342465753</v>
      </c>
      <c r="U31" s="44" t="n">
        <f aca="false">G31</f>
        <v>25925.3424657534</v>
      </c>
      <c r="V31" s="44" t="n">
        <f aca="false">IF($A31&lt;Inputs!$C$11,Inputs!$C$36,0)</f>
        <v>925000</v>
      </c>
      <c r="W31" s="44" t="n">
        <f aca="false">U31-S31</f>
        <v>11195.0342465753</v>
      </c>
    </row>
    <row r="32" customFormat="false" ht="15" hidden="false" customHeight="false" outlineLevel="0" collapsed="false">
      <c r="A32" s="40" t="n">
        <v>16</v>
      </c>
      <c r="B32" s="41" t="n">
        <f aca="false">EDATE($B$16,16)</f>
        <v>46722</v>
      </c>
      <c r="C32" s="42" t="str">
        <f aca="false">IF($A32&gt;Inputs!$C$11,"",IF($A32=Inputs!$C$11,"Interest + exit fee + redemption","Interest"))</f>
        <v>Interest</v>
      </c>
      <c r="D32" s="45" t="n">
        <f aca="false">IF($A32&gt;Inputs!$C$11,"",B32-B31)</f>
        <v>30</v>
      </c>
      <c r="E32" s="44" t="n">
        <v>0</v>
      </c>
      <c r="F32" s="44" t="n">
        <f aca="false">IF($A32&lt;=Inputs!$C$11,Inputs!$C$14*Inputs!$C$21*D32/365,0)</f>
        <v>25089.0410958904</v>
      </c>
      <c r="G32" s="44" t="n">
        <f aca="false">IF(Inputs!$C$22="Serviced Monthly",F32,0)+IF($A32=Inputs!$C$11,Inputs!$C$14+Inputs!$D$17,0)</f>
        <v>25089.0410958904</v>
      </c>
      <c r="H32" s="44" t="n">
        <f aca="false">IF($A32&lt;Inputs!$C$11,Inputs!$C$14,0)</f>
        <v>3700000</v>
      </c>
      <c r="I32" s="44" t="n">
        <f aca="false">G32</f>
        <v>25089.0410958904</v>
      </c>
      <c r="K32" s="42" t="str">
        <f aca="false">IF($A32&gt;Inputs!$C$11,"",IF($A32=Inputs!$C$11,"Repay senior + interest + exit fee","Senior interest"))</f>
        <v>Senior interest</v>
      </c>
      <c r="L32" s="44" t="n">
        <f aca="false">M32+IF($A32=Inputs!$C$11,Inputs!$C$35+Inputs!$D$34,0)</f>
        <v>14255.1369863014</v>
      </c>
      <c r="M32" s="44" t="n">
        <f aca="false">IF($A32&lt;=Inputs!$C$11,Inputs!$C$35*Inputs!$C$33*D32/365,0)</f>
        <v>14255.1369863014</v>
      </c>
      <c r="N32" s="44" t="n">
        <v>0</v>
      </c>
      <c r="O32" s="44" t="n">
        <f aca="false">IF($A32&lt;Inputs!$C$11,Inputs!$C$35,0)</f>
        <v>2775000</v>
      </c>
      <c r="P32" s="44" t="n">
        <f aca="false">N32-L32</f>
        <v>-14255.1369863014</v>
      </c>
      <c r="R32" s="42" t="str">
        <f aca="false">IF($A32&gt;Inputs!$C$11,"",IF($A32=Inputs!$C$11,"Redemption received / senior repaid","Net interest margin"))</f>
        <v>Net interest margin</v>
      </c>
      <c r="S32" s="44" t="n">
        <f aca="false">L32</f>
        <v>14255.1369863014</v>
      </c>
      <c r="T32" s="44" t="n">
        <f aca="false">F32-M32</f>
        <v>10833.904109589</v>
      </c>
      <c r="U32" s="44" t="n">
        <f aca="false">G32</f>
        <v>25089.0410958904</v>
      </c>
      <c r="V32" s="44" t="n">
        <f aca="false">IF($A32&lt;Inputs!$C$11,Inputs!$C$36,0)</f>
        <v>925000</v>
      </c>
      <c r="W32" s="44" t="n">
        <f aca="false">U32-S32</f>
        <v>10833.904109589</v>
      </c>
    </row>
    <row r="33" customFormat="false" ht="15" hidden="false" customHeight="false" outlineLevel="0" collapsed="false">
      <c r="A33" s="40" t="n">
        <v>17</v>
      </c>
      <c r="B33" s="41" t="n">
        <f aca="false">EDATE($B$16,17)</f>
        <v>46753</v>
      </c>
      <c r="C33" s="42" t="str">
        <f aca="false">IF($A33&gt;Inputs!$C$11,"",IF($A33=Inputs!$C$11,"Interest + exit fee + redemption","Interest"))</f>
        <v>Interest</v>
      </c>
      <c r="D33" s="45" t="n">
        <f aca="false">IF($A33&gt;Inputs!$C$11,"",B33-B32)</f>
        <v>31</v>
      </c>
      <c r="E33" s="44" t="n">
        <v>0</v>
      </c>
      <c r="F33" s="44" t="n">
        <f aca="false">IF($A33&lt;=Inputs!$C$11,Inputs!$C$14*Inputs!$C$21*D33/365,0)</f>
        <v>25925.3424657534</v>
      </c>
      <c r="G33" s="44" t="n">
        <f aca="false">IF(Inputs!$C$22="Serviced Monthly",F33,0)+IF($A33=Inputs!$C$11,Inputs!$C$14+Inputs!$D$17,0)</f>
        <v>25925.3424657534</v>
      </c>
      <c r="H33" s="44" t="n">
        <f aca="false">IF($A33&lt;Inputs!$C$11,Inputs!$C$14,0)</f>
        <v>3700000</v>
      </c>
      <c r="I33" s="44" t="n">
        <f aca="false">G33</f>
        <v>25925.3424657534</v>
      </c>
      <c r="K33" s="42" t="str">
        <f aca="false">IF($A33&gt;Inputs!$C$11,"",IF($A33=Inputs!$C$11,"Repay senior + interest + exit fee","Senior interest"))</f>
        <v>Senior interest</v>
      </c>
      <c r="L33" s="44" t="n">
        <f aca="false">M33+IF($A33=Inputs!$C$11,Inputs!$C$35+Inputs!$D$34,0)</f>
        <v>14730.3082191781</v>
      </c>
      <c r="M33" s="44" t="n">
        <f aca="false">IF($A33&lt;=Inputs!$C$11,Inputs!$C$35*Inputs!$C$33*D33/365,0)</f>
        <v>14730.3082191781</v>
      </c>
      <c r="N33" s="44" t="n">
        <v>0</v>
      </c>
      <c r="O33" s="44" t="n">
        <f aca="false">IF($A33&lt;Inputs!$C$11,Inputs!$C$35,0)</f>
        <v>2775000</v>
      </c>
      <c r="P33" s="44" t="n">
        <f aca="false">N33-L33</f>
        <v>-14730.3082191781</v>
      </c>
      <c r="R33" s="42" t="str">
        <f aca="false">IF($A33&gt;Inputs!$C$11,"",IF($A33=Inputs!$C$11,"Redemption received / senior repaid","Net interest margin"))</f>
        <v>Net interest margin</v>
      </c>
      <c r="S33" s="44" t="n">
        <f aca="false">L33</f>
        <v>14730.3082191781</v>
      </c>
      <c r="T33" s="44" t="n">
        <f aca="false">F33-M33</f>
        <v>11195.0342465753</v>
      </c>
      <c r="U33" s="44" t="n">
        <f aca="false">G33</f>
        <v>25925.3424657534</v>
      </c>
      <c r="V33" s="44" t="n">
        <f aca="false">IF($A33&lt;Inputs!$C$11,Inputs!$C$36,0)</f>
        <v>925000</v>
      </c>
      <c r="W33" s="44" t="n">
        <f aca="false">U33-S33</f>
        <v>11195.0342465753</v>
      </c>
    </row>
    <row r="34" customFormat="false" ht="15" hidden="false" customHeight="false" outlineLevel="0" collapsed="false">
      <c r="A34" s="40" t="n">
        <v>18</v>
      </c>
      <c r="B34" s="41" t="n">
        <f aca="false">EDATE($B$16,18)</f>
        <v>46784</v>
      </c>
      <c r="C34" s="42" t="str">
        <f aca="false">IF($A34&gt;Inputs!$C$11,"",IF($A34=Inputs!$C$11,"Interest + exit fee + redemption","Interest"))</f>
        <v>Interest</v>
      </c>
      <c r="D34" s="45" t="n">
        <f aca="false">IF($A34&gt;Inputs!$C$11,"",B34-B33)</f>
        <v>31</v>
      </c>
      <c r="E34" s="44" t="n">
        <v>0</v>
      </c>
      <c r="F34" s="44" t="n">
        <f aca="false">IF($A34&lt;=Inputs!$C$11,Inputs!$C$14*Inputs!$C$21*D34/365,0)</f>
        <v>25925.3424657534</v>
      </c>
      <c r="G34" s="44" t="n">
        <f aca="false">IF(Inputs!$C$22="Serviced Monthly",F34,0)+IF($A34=Inputs!$C$11,Inputs!$C$14+Inputs!$D$17,0)</f>
        <v>25925.3424657534</v>
      </c>
      <c r="H34" s="44" t="n">
        <f aca="false">IF($A34&lt;Inputs!$C$11,Inputs!$C$14,0)</f>
        <v>3700000</v>
      </c>
      <c r="I34" s="44" t="n">
        <f aca="false">G34</f>
        <v>25925.3424657534</v>
      </c>
      <c r="K34" s="42" t="str">
        <f aca="false">IF($A34&gt;Inputs!$C$11,"",IF($A34=Inputs!$C$11,"Repay senior + interest + exit fee","Senior interest"))</f>
        <v>Senior interest</v>
      </c>
      <c r="L34" s="44" t="n">
        <f aca="false">M34+IF($A34=Inputs!$C$11,Inputs!$C$35+Inputs!$D$34,0)</f>
        <v>14730.3082191781</v>
      </c>
      <c r="M34" s="44" t="n">
        <f aca="false">IF($A34&lt;=Inputs!$C$11,Inputs!$C$35*Inputs!$C$33*D34/365,0)</f>
        <v>14730.3082191781</v>
      </c>
      <c r="N34" s="44" t="n">
        <v>0</v>
      </c>
      <c r="O34" s="44" t="n">
        <f aca="false">IF($A34&lt;Inputs!$C$11,Inputs!$C$35,0)</f>
        <v>2775000</v>
      </c>
      <c r="P34" s="44" t="n">
        <f aca="false">N34-L34</f>
        <v>-14730.3082191781</v>
      </c>
      <c r="R34" s="42" t="str">
        <f aca="false">IF($A34&gt;Inputs!$C$11,"",IF($A34=Inputs!$C$11,"Redemption received / senior repaid","Net interest margin"))</f>
        <v>Net interest margin</v>
      </c>
      <c r="S34" s="44" t="n">
        <f aca="false">L34</f>
        <v>14730.3082191781</v>
      </c>
      <c r="T34" s="44" t="n">
        <f aca="false">F34-M34</f>
        <v>11195.0342465753</v>
      </c>
      <c r="U34" s="44" t="n">
        <f aca="false">G34</f>
        <v>25925.3424657534</v>
      </c>
      <c r="V34" s="44" t="n">
        <f aca="false">IF($A34&lt;Inputs!$C$11,Inputs!$C$36,0)</f>
        <v>925000</v>
      </c>
      <c r="W34" s="44" t="n">
        <f aca="false">U34-S34</f>
        <v>11195.0342465753</v>
      </c>
    </row>
    <row r="35" customFormat="false" ht="15" hidden="false" customHeight="false" outlineLevel="0" collapsed="false">
      <c r="A35" s="40" t="n">
        <v>19</v>
      </c>
      <c r="B35" s="41" t="n">
        <f aca="false">EDATE($B$16,19)</f>
        <v>46813</v>
      </c>
      <c r="C35" s="42" t="str">
        <f aca="false">IF($A35&gt;Inputs!$C$11,"",IF($A35=Inputs!$C$11,"Interest + exit fee + redemption","Interest"))</f>
        <v>Interest</v>
      </c>
      <c r="D35" s="45" t="n">
        <f aca="false">IF($A35&gt;Inputs!$C$11,"",B35-B34)</f>
        <v>29</v>
      </c>
      <c r="E35" s="44" t="n">
        <v>0</v>
      </c>
      <c r="F35" s="44" t="n">
        <f aca="false">IF($A35&lt;=Inputs!$C$11,Inputs!$C$14*Inputs!$C$21*D35/365,0)</f>
        <v>24252.7397260274</v>
      </c>
      <c r="G35" s="44" t="n">
        <f aca="false">IF(Inputs!$C$22="Serviced Monthly",F35,0)+IF($A35=Inputs!$C$11,Inputs!$C$14+Inputs!$D$17,0)</f>
        <v>24252.7397260274</v>
      </c>
      <c r="H35" s="44" t="n">
        <f aca="false">IF($A35&lt;Inputs!$C$11,Inputs!$C$14,0)</f>
        <v>3700000</v>
      </c>
      <c r="I35" s="44" t="n">
        <f aca="false">G35</f>
        <v>24252.7397260274</v>
      </c>
      <c r="K35" s="42" t="str">
        <f aca="false">IF($A35&gt;Inputs!$C$11,"",IF($A35=Inputs!$C$11,"Repay senior + interest + exit fee","Senior interest"))</f>
        <v>Senior interest</v>
      </c>
      <c r="L35" s="44" t="n">
        <f aca="false">M35+IF($A35=Inputs!$C$11,Inputs!$C$35+Inputs!$D$34,0)</f>
        <v>13779.9657534247</v>
      </c>
      <c r="M35" s="44" t="n">
        <f aca="false">IF($A35&lt;=Inputs!$C$11,Inputs!$C$35*Inputs!$C$33*D35/365,0)</f>
        <v>13779.9657534247</v>
      </c>
      <c r="N35" s="44" t="n">
        <v>0</v>
      </c>
      <c r="O35" s="44" t="n">
        <f aca="false">IF($A35&lt;Inputs!$C$11,Inputs!$C$35,0)</f>
        <v>2775000</v>
      </c>
      <c r="P35" s="44" t="n">
        <f aca="false">N35-L35</f>
        <v>-13779.9657534247</v>
      </c>
      <c r="R35" s="42" t="str">
        <f aca="false">IF($A35&gt;Inputs!$C$11,"",IF($A35=Inputs!$C$11,"Redemption received / senior repaid","Net interest margin"))</f>
        <v>Net interest margin</v>
      </c>
      <c r="S35" s="44" t="n">
        <f aca="false">L35</f>
        <v>13779.9657534247</v>
      </c>
      <c r="T35" s="44" t="n">
        <f aca="false">F35-M35</f>
        <v>10472.7739726027</v>
      </c>
      <c r="U35" s="44" t="n">
        <f aca="false">G35</f>
        <v>24252.7397260274</v>
      </c>
      <c r="V35" s="44" t="n">
        <f aca="false">IF($A35&lt;Inputs!$C$11,Inputs!$C$36,0)</f>
        <v>925000</v>
      </c>
      <c r="W35" s="44" t="n">
        <f aca="false">U35-S35</f>
        <v>10472.7739726027</v>
      </c>
    </row>
    <row r="36" customFormat="false" ht="15" hidden="false" customHeight="false" outlineLevel="0" collapsed="false">
      <c r="A36" s="40" t="n">
        <v>20</v>
      </c>
      <c r="B36" s="41" t="n">
        <f aca="false">EDATE($B$16,20)</f>
        <v>46844</v>
      </c>
      <c r="C36" s="42" t="str">
        <f aca="false">IF($A36&gt;Inputs!$C$11,"",IF($A36=Inputs!$C$11,"Interest + exit fee + redemption","Interest"))</f>
        <v>Interest</v>
      </c>
      <c r="D36" s="45" t="n">
        <f aca="false">IF($A36&gt;Inputs!$C$11,"",B36-B35)</f>
        <v>31</v>
      </c>
      <c r="E36" s="44" t="n">
        <v>0</v>
      </c>
      <c r="F36" s="44" t="n">
        <f aca="false">IF($A36&lt;=Inputs!$C$11,Inputs!$C$14*Inputs!$C$21*D36/365,0)</f>
        <v>25925.3424657534</v>
      </c>
      <c r="G36" s="44" t="n">
        <f aca="false">IF(Inputs!$C$22="Serviced Monthly",F36,0)+IF($A36=Inputs!$C$11,Inputs!$C$14+Inputs!$D$17,0)</f>
        <v>25925.3424657534</v>
      </c>
      <c r="H36" s="44" t="n">
        <f aca="false">IF($A36&lt;Inputs!$C$11,Inputs!$C$14,0)</f>
        <v>3700000</v>
      </c>
      <c r="I36" s="44" t="n">
        <f aca="false">G36</f>
        <v>25925.3424657534</v>
      </c>
      <c r="K36" s="42" t="str">
        <f aca="false">IF($A36&gt;Inputs!$C$11,"",IF($A36=Inputs!$C$11,"Repay senior + interest + exit fee","Senior interest"))</f>
        <v>Senior interest</v>
      </c>
      <c r="L36" s="44" t="n">
        <f aca="false">M36+IF($A36=Inputs!$C$11,Inputs!$C$35+Inputs!$D$34,0)</f>
        <v>14730.3082191781</v>
      </c>
      <c r="M36" s="44" t="n">
        <f aca="false">IF($A36&lt;=Inputs!$C$11,Inputs!$C$35*Inputs!$C$33*D36/365,0)</f>
        <v>14730.3082191781</v>
      </c>
      <c r="N36" s="44" t="n">
        <v>0</v>
      </c>
      <c r="O36" s="44" t="n">
        <f aca="false">IF($A36&lt;Inputs!$C$11,Inputs!$C$35,0)</f>
        <v>2775000</v>
      </c>
      <c r="P36" s="44" t="n">
        <f aca="false">N36-L36</f>
        <v>-14730.3082191781</v>
      </c>
      <c r="R36" s="42" t="str">
        <f aca="false">IF($A36&gt;Inputs!$C$11,"",IF($A36=Inputs!$C$11,"Redemption received / senior repaid","Net interest margin"))</f>
        <v>Net interest margin</v>
      </c>
      <c r="S36" s="44" t="n">
        <f aca="false">L36</f>
        <v>14730.3082191781</v>
      </c>
      <c r="T36" s="44" t="n">
        <f aca="false">F36-M36</f>
        <v>11195.0342465753</v>
      </c>
      <c r="U36" s="44" t="n">
        <f aca="false">G36</f>
        <v>25925.3424657534</v>
      </c>
      <c r="V36" s="44" t="n">
        <f aca="false">IF($A36&lt;Inputs!$C$11,Inputs!$C$36,0)</f>
        <v>925000</v>
      </c>
      <c r="W36" s="44" t="n">
        <f aca="false">U36-S36</f>
        <v>11195.0342465753</v>
      </c>
    </row>
    <row r="37" customFormat="false" ht="15" hidden="false" customHeight="false" outlineLevel="0" collapsed="false">
      <c r="A37" s="40" t="n">
        <v>21</v>
      </c>
      <c r="B37" s="41" t="n">
        <f aca="false">EDATE($B$16,21)</f>
        <v>46874</v>
      </c>
      <c r="C37" s="42" t="str">
        <f aca="false">IF($A37&gt;Inputs!$C$11,"",IF($A37=Inputs!$C$11,"Interest + exit fee + redemption","Interest"))</f>
        <v>Interest</v>
      </c>
      <c r="D37" s="45" t="n">
        <f aca="false">IF($A37&gt;Inputs!$C$11,"",B37-B36)</f>
        <v>30</v>
      </c>
      <c r="E37" s="44" t="n">
        <v>0</v>
      </c>
      <c r="F37" s="44" t="n">
        <f aca="false">IF($A37&lt;=Inputs!$C$11,Inputs!$C$14*Inputs!$C$21*D37/365,0)</f>
        <v>25089.0410958904</v>
      </c>
      <c r="G37" s="44" t="n">
        <f aca="false">IF(Inputs!$C$22="Serviced Monthly",F37,0)+IF($A37=Inputs!$C$11,Inputs!$C$14+Inputs!$D$17,0)</f>
        <v>25089.0410958904</v>
      </c>
      <c r="H37" s="44" t="n">
        <f aca="false">IF($A37&lt;Inputs!$C$11,Inputs!$C$14,0)</f>
        <v>3700000</v>
      </c>
      <c r="I37" s="44" t="n">
        <f aca="false">G37</f>
        <v>25089.0410958904</v>
      </c>
      <c r="K37" s="42" t="str">
        <f aca="false">IF($A37&gt;Inputs!$C$11,"",IF($A37=Inputs!$C$11,"Repay senior + interest + exit fee","Senior interest"))</f>
        <v>Senior interest</v>
      </c>
      <c r="L37" s="44" t="n">
        <f aca="false">M37+IF($A37=Inputs!$C$11,Inputs!$C$35+Inputs!$D$34,0)</f>
        <v>14255.1369863014</v>
      </c>
      <c r="M37" s="44" t="n">
        <f aca="false">IF($A37&lt;=Inputs!$C$11,Inputs!$C$35*Inputs!$C$33*D37/365,0)</f>
        <v>14255.1369863014</v>
      </c>
      <c r="N37" s="44" t="n">
        <v>0</v>
      </c>
      <c r="O37" s="44" t="n">
        <f aca="false">IF($A37&lt;Inputs!$C$11,Inputs!$C$35,0)</f>
        <v>2775000</v>
      </c>
      <c r="P37" s="44" t="n">
        <f aca="false">N37-L37</f>
        <v>-14255.1369863014</v>
      </c>
      <c r="R37" s="42" t="str">
        <f aca="false">IF($A37&gt;Inputs!$C$11,"",IF($A37=Inputs!$C$11,"Redemption received / senior repaid","Net interest margin"))</f>
        <v>Net interest margin</v>
      </c>
      <c r="S37" s="44" t="n">
        <f aca="false">L37</f>
        <v>14255.1369863014</v>
      </c>
      <c r="T37" s="44" t="n">
        <f aca="false">F37-M37</f>
        <v>10833.904109589</v>
      </c>
      <c r="U37" s="44" t="n">
        <f aca="false">G37</f>
        <v>25089.0410958904</v>
      </c>
      <c r="V37" s="44" t="n">
        <f aca="false">IF($A37&lt;Inputs!$C$11,Inputs!$C$36,0)</f>
        <v>925000</v>
      </c>
      <c r="W37" s="44" t="n">
        <f aca="false">U37-S37</f>
        <v>10833.904109589</v>
      </c>
    </row>
    <row r="38" customFormat="false" ht="15" hidden="false" customHeight="false" outlineLevel="0" collapsed="false">
      <c r="A38" s="40" t="n">
        <v>22</v>
      </c>
      <c r="B38" s="41" t="n">
        <f aca="false">EDATE($B$16,22)</f>
        <v>46905</v>
      </c>
      <c r="C38" s="42" t="str">
        <f aca="false">IF($A38&gt;Inputs!$C$11,"",IF($A38=Inputs!$C$11,"Interest + exit fee + redemption","Interest"))</f>
        <v>Interest</v>
      </c>
      <c r="D38" s="45" t="n">
        <f aca="false">IF($A38&gt;Inputs!$C$11,"",B38-B37)</f>
        <v>31</v>
      </c>
      <c r="E38" s="44" t="n">
        <v>0</v>
      </c>
      <c r="F38" s="44" t="n">
        <f aca="false">IF($A38&lt;=Inputs!$C$11,Inputs!$C$14*Inputs!$C$21*D38/365,0)</f>
        <v>25925.3424657534</v>
      </c>
      <c r="G38" s="44" t="n">
        <f aca="false">IF(Inputs!$C$22="Serviced Monthly",F38,0)+IF($A38=Inputs!$C$11,Inputs!$C$14+Inputs!$D$17,0)</f>
        <v>25925.3424657534</v>
      </c>
      <c r="H38" s="44" t="n">
        <f aca="false">IF($A38&lt;Inputs!$C$11,Inputs!$C$14,0)</f>
        <v>3700000</v>
      </c>
      <c r="I38" s="44" t="n">
        <f aca="false">G38</f>
        <v>25925.3424657534</v>
      </c>
      <c r="K38" s="42" t="str">
        <f aca="false">IF($A38&gt;Inputs!$C$11,"",IF($A38=Inputs!$C$11,"Repay senior + interest + exit fee","Senior interest"))</f>
        <v>Senior interest</v>
      </c>
      <c r="L38" s="44" t="n">
        <f aca="false">M38+IF($A38=Inputs!$C$11,Inputs!$C$35+Inputs!$D$34,0)</f>
        <v>14730.3082191781</v>
      </c>
      <c r="M38" s="44" t="n">
        <f aca="false">IF($A38&lt;=Inputs!$C$11,Inputs!$C$35*Inputs!$C$33*D38/365,0)</f>
        <v>14730.3082191781</v>
      </c>
      <c r="N38" s="44" t="n">
        <v>0</v>
      </c>
      <c r="O38" s="44" t="n">
        <f aca="false">IF($A38&lt;Inputs!$C$11,Inputs!$C$35,0)</f>
        <v>2775000</v>
      </c>
      <c r="P38" s="44" t="n">
        <f aca="false">N38-L38</f>
        <v>-14730.3082191781</v>
      </c>
      <c r="R38" s="42" t="str">
        <f aca="false">IF($A38&gt;Inputs!$C$11,"",IF($A38=Inputs!$C$11,"Redemption received / senior repaid","Net interest margin"))</f>
        <v>Net interest margin</v>
      </c>
      <c r="S38" s="44" t="n">
        <f aca="false">L38</f>
        <v>14730.3082191781</v>
      </c>
      <c r="T38" s="44" t="n">
        <f aca="false">F38-M38</f>
        <v>11195.0342465753</v>
      </c>
      <c r="U38" s="44" t="n">
        <f aca="false">G38</f>
        <v>25925.3424657534</v>
      </c>
      <c r="V38" s="44" t="n">
        <f aca="false">IF($A38&lt;Inputs!$C$11,Inputs!$C$36,0)</f>
        <v>925000</v>
      </c>
      <c r="W38" s="44" t="n">
        <f aca="false">U38-S38</f>
        <v>11195.0342465753</v>
      </c>
    </row>
    <row r="39" customFormat="false" ht="15" hidden="false" customHeight="false" outlineLevel="0" collapsed="false">
      <c r="A39" s="40" t="n">
        <v>23</v>
      </c>
      <c r="B39" s="41" t="n">
        <f aca="false">EDATE($B$16,23)</f>
        <v>46935</v>
      </c>
      <c r="C39" s="42" t="str">
        <f aca="false">IF($A39&gt;Inputs!$C$11,"",IF($A39=Inputs!$C$11,"Interest + exit fee + redemption","Interest"))</f>
        <v>Interest</v>
      </c>
      <c r="D39" s="45" t="n">
        <f aca="false">IF($A39&gt;Inputs!$C$11,"",B39-B38)</f>
        <v>30</v>
      </c>
      <c r="E39" s="44" t="n">
        <v>0</v>
      </c>
      <c r="F39" s="44" t="n">
        <f aca="false">IF($A39&lt;=Inputs!$C$11,Inputs!$C$14*Inputs!$C$21*D39/365,0)</f>
        <v>25089.0410958904</v>
      </c>
      <c r="G39" s="44" t="n">
        <f aca="false">IF(Inputs!$C$22="Serviced Monthly",F39,0)+IF($A39=Inputs!$C$11,Inputs!$C$14+Inputs!$D$17,0)</f>
        <v>25089.0410958904</v>
      </c>
      <c r="H39" s="44" t="n">
        <f aca="false">IF($A39&lt;Inputs!$C$11,Inputs!$C$14,0)</f>
        <v>3700000</v>
      </c>
      <c r="I39" s="44" t="n">
        <f aca="false">G39</f>
        <v>25089.0410958904</v>
      </c>
      <c r="K39" s="42" t="str">
        <f aca="false">IF($A39&gt;Inputs!$C$11,"",IF($A39=Inputs!$C$11,"Repay senior + interest + exit fee","Senior interest"))</f>
        <v>Senior interest</v>
      </c>
      <c r="L39" s="44" t="n">
        <f aca="false">M39+IF($A39=Inputs!$C$11,Inputs!$C$35+Inputs!$D$34,0)</f>
        <v>14255.1369863014</v>
      </c>
      <c r="M39" s="44" t="n">
        <f aca="false">IF($A39&lt;=Inputs!$C$11,Inputs!$C$35*Inputs!$C$33*D39/365,0)</f>
        <v>14255.1369863014</v>
      </c>
      <c r="N39" s="44" t="n">
        <v>0</v>
      </c>
      <c r="O39" s="44" t="n">
        <f aca="false">IF($A39&lt;Inputs!$C$11,Inputs!$C$35,0)</f>
        <v>2775000</v>
      </c>
      <c r="P39" s="44" t="n">
        <f aca="false">N39-L39</f>
        <v>-14255.1369863014</v>
      </c>
      <c r="R39" s="42" t="str">
        <f aca="false">IF($A39&gt;Inputs!$C$11,"",IF($A39=Inputs!$C$11,"Redemption received / senior repaid","Net interest margin"))</f>
        <v>Net interest margin</v>
      </c>
      <c r="S39" s="44" t="n">
        <f aca="false">L39</f>
        <v>14255.1369863014</v>
      </c>
      <c r="T39" s="44" t="n">
        <f aca="false">F39-M39</f>
        <v>10833.904109589</v>
      </c>
      <c r="U39" s="44" t="n">
        <f aca="false">G39</f>
        <v>25089.0410958904</v>
      </c>
      <c r="V39" s="44" t="n">
        <f aca="false">IF($A39&lt;Inputs!$C$11,Inputs!$C$36,0)</f>
        <v>925000</v>
      </c>
      <c r="W39" s="44" t="n">
        <f aca="false">U39-S39</f>
        <v>10833.904109589</v>
      </c>
    </row>
    <row r="40" customFormat="false" ht="15" hidden="false" customHeight="false" outlineLevel="0" collapsed="false">
      <c r="A40" s="40" t="n">
        <v>24</v>
      </c>
      <c r="B40" s="41" t="n">
        <f aca="false">EDATE($B$16,24)</f>
        <v>46966</v>
      </c>
      <c r="C40" s="42" t="str">
        <f aca="false">IF($A40&gt;Inputs!$C$11,"",IF($A40=Inputs!$C$11,"Interest + exit fee + redemption","Interest"))</f>
        <v>Interest + exit fee + redemption</v>
      </c>
      <c r="D40" s="45" t="n">
        <f aca="false">IF($A40&gt;Inputs!$C$11,"",B40-B39)</f>
        <v>31</v>
      </c>
      <c r="E40" s="44" t="n">
        <v>0</v>
      </c>
      <c r="F40" s="44" t="n">
        <f aca="false">IF($A40&lt;=Inputs!$C$11,Inputs!$C$14*Inputs!$C$21*D40/365,0)</f>
        <v>25925.3424657534</v>
      </c>
      <c r="G40" s="44" t="n">
        <f aca="false">IF(Inputs!$C$22="Serviced Monthly",F40,0)+IF($A40=Inputs!$C$11,Inputs!$C$14+Inputs!$D$17,0)</f>
        <v>3762925.34246575</v>
      </c>
      <c r="H40" s="44" t="n">
        <f aca="false">IF($A40&lt;Inputs!$C$11,Inputs!$C$14,0)</f>
        <v>0</v>
      </c>
      <c r="I40" s="44" t="n">
        <f aca="false">G40</f>
        <v>3762925.34246575</v>
      </c>
      <c r="K40" s="42" t="str">
        <f aca="false">IF($A40&gt;Inputs!$C$11,"",IF($A40=Inputs!$C$11,"Repay senior + interest + exit fee","Senior interest"))</f>
        <v>Repay senior + interest + exit fee</v>
      </c>
      <c r="L40" s="44" t="n">
        <f aca="false">M40+IF($A40=Inputs!$C$11,Inputs!$C$35+Inputs!$D$34,0)</f>
        <v>2789730.30821918</v>
      </c>
      <c r="M40" s="44" t="n">
        <f aca="false">IF($A40&lt;=Inputs!$C$11,Inputs!$C$35*Inputs!$C$33*D40/365,0)</f>
        <v>14730.3082191781</v>
      </c>
      <c r="N40" s="44" t="n">
        <v>0</v>
      </c>
      <c r="O40" s="44" t="n">
        <f aca="false">IF($A40&lt;Inputs!$C$11,Inputs!$C$35,0)</f>
        <v>0</v>
      </c>
      <c r="P40" s="44" t="n">
        <f aca="false">N40-L40</f>
        <v>-2789730.30821918</v>
      </c>
      <c r="R40" s="42" t="str">
        <f aca="false">IF($A40&gt;Inputs!$C$11,"",IF($A40=Inputs!$C$11,"Redemption received / senior repaid","Net interest margin"))</f>
        <v>Redemption received / senior repaid</v>
      </c>
      <c r="S40" s="44" t="n">
        <f aca="false">L40</f>
        <v>2789730.30821918</v>
      </c>
      <c r="T40" s="44" t="n">
        <f aca="false">F40-M40</f>
        <v>11195.0342465753</v>
      </c>
      <c r="U40" s="44" t="n">
        <f aca="false">G40</f>
        <v>3762925.34246575</v>
      </c>
      <c r="V40" s="44" t="n">
        <f aca="false">IF($A40&lt;Inputs!$C$11,Inputs!$C$36,0)</f>
        <v>0</v>
      </c>
      <c r="W40" s="44" t="n">
        <f aca="false">U40-S40</f>
        <v>973195.034246575</v>
      </c>
    </row>
    <row r="41" customFormat="false" ht="15" hidden="false" customHeight="false" outlineLevel="0" collapsed="false">
      <c r="A41" s="40" t="n">
        <v>25</v>
      </c>
      <c r="B41" s="41" t="n">
        <f aca="false">EDATE($B$16,25)</f>
        <v>46997</v>
      </c>
      <c r="C41" s="42" t="str">
        <f aca="false">IF($A41&gt;Inputs!$C$11,"",IF($A41=Inputs!$C$11,"Interest + exit fee + redemption","Interest"))</f>
        <v/>
      </c>
      <c r="D41" s="45" t="str">
        <f aca="false">IF($A41&gt;Inputs!$C$11,"",B41-B40)</f>
        <v/>
      </c>
      <c r="E41" s="44" t="n">
        <v>0</v>
      </c>
      <c r="F41" s="44" t="n">
        <f aca="false">IF($A41&lt;=Inputs!$C$11,Inputs!$C$14*Inputs!$C$21*D41/365,0)</f>
        <v>0</v>
      </c>
      <c r="G41" s="44" t="n">
        <f aca="false">IF(Inputs!$C$22="Serviced Monthly",F41,0)+IF($A41=Inputs!$C$11,Inputs!$C$14+Inputs!$D$17,0)</f>
        <v>0</v>
      </c>
      <c r="H41" s="44" t="n">
        <f aca="false">IF($A41&lt;Inputs!$C$11,Inputs!$C$14,0)</f>
        <v>0</v>
      </c>
      <c r="I41" s="44" t="n">
        <f aca="false">G41</f>
        <v>0</v>
      </c>
      <c r="K41" s="42" t="str">
        <f aca="false">IF($A41&gt;Inputs!$C$11,"",IF($A41=Inputs!$C$11,"Repay senior + interest + exit fee","Senior interest"))</f>
        <v/>
      </c>
      <c r="L41" s="44" t="n">
        <f aca="false">M41+IF($A41=Inputs!$C$11,Inputs!$C$35+Inputs!$D$34,0)</f>
        <v>0</v>
      </c>
      <c r="M41" s="44" t="n">
        <f aca="false">IF($A41&lt;=Inputs!$C$11,Inputs!$C$35*Inputs!$C$33*D41/365,0)</f>
        <v>0</v>
      </c>
      <c r="N41" s="44" t="n">
        <v>0</v>
      </c>
      <c r="O41" s="44" t="n">
        <f aca="false">IF($A41&lt;Inputs!$C$11,Inputs!$C$35,0)</f>
        <v>0</v>
      </c>
      <c r="P41" s="44" t="n">
        <f aca="false">N41-L41</f>
        <v>0</v>
      </c>
      <c r="R41" s="42" t="str">
        <f aca="false">IF($A41&gt;Inputs!$C$11,"",IF($A41=Inputs!$C$11,"Redemption received / senior repaid","Net interest margin"))</f>
        <v/>
      </c>
      <c r="S41" s="44" t="n">
        <f aca="false">L41</f>
        <v>0</v>
      </c>
      <c r="T41" s="44" t="n">
        <f aca="false">F41-M41</f>
        <v>0</v>
      </c>
      <c r="U41" s="44" t="n">
        <f aca="false">G41</f>
        <v>0</v>
      </c>
      <c r="V41" s="44" t="n">
        <f aca="false">IF($A41&lt;Inputs!$C$11,Inputs!$C$36,0)</f>
        <v>0</v>
      </c>
      <c r="W41" s="44" t="n">
        <f aca="false">U41-S41</f>
        <v>0</v>
      </c>
    </row>
    <row r="42" customFormat="false" ht="15" hidden="false" customHeight="false" outlineLevel="0" collapsed="false">
      <c r="A42" s="40" t="n">
        <v>26</v>
      </c>
      <c r="B42" s="41" t="n">
        <f aca="false">EDATE($B$16,26)</f>
        <v>47027</v>
      </c>
      <c r="C42" s="42" t="str">
        <f aca="false">IF($A42&gt;Inputs!$C$11,"",IF($A42=Inputs!$C$11,"Interest + exit fee + redemption","Interest"))</f>
        <v/>
      </c>
      <c r="D42" s="45" t="str">
        <f aca="false">IF($A42&gt;Inputs!$C$11,"",B42-B41)</f>
        <v/>
      </c>
      <c r="E42" s="44" t="n">
        <v>0</v>
      </c>
      <c r="F42" s="44" t="n">
        <f aca="false">IF($A42&lt;=Inputs!$C$11,Inputs!$C$14*Inputs!$C$21*D42/365,0)</f>
        <v>0</v>
      </c>
      <c r="G42" s="44" t="n">
        <f aca="false">IF(Inputs!$C$22="Serviced Monthly",F42,0)+IF($A42=Inputs!$C$11,Inputs!$C$14+Inputs!$D$17,0)</f>
        <v>0</v>
      </c>
      <c r="H42" s="44" t="n">
        <f aca="false">IF($A42&lt;Inputs!$C$11,Inputs!$C$14,0)</f>
        <v>0</v>
      </c>
      <c r="I42" s="44" t="n">
        <f aca="false">G42</f>
        <v>0</v>
      </c>
      <c r="K42" s="42" t="str">
        <f aca="false">IF($A42&gt;Inputs!$C$11,"",IF($A42=Inputs!$C$11,"Repay senior + interest + exit fee","Senior interest"))</f>
        <v/>
      </c>
      <c r="L42" s="44" t="n">
        <f aca="false">M42+IF($A42=Inputs!$C$11,Inputs!$C$35+Inputs!$D$34,0)</f>
        <v>0</v>
      </c>
      <c r="M42" s="44" t="n">
        <f aca="false">IF($A42&lt;=Inputs!$C$11,Inputs!$C$35*Inputs!$C$33*D42/365,0)</f>
        <v>0</v>
      </c>
      <c r="N42" s="44" t="n">
        <v>0</v>
      </c>
      <c r="O42" s="44" t="n">
        <f aca="false">IF($A42&lt;Inputs!$C$11,Inputs!$C$35,0)</f>
        <v>0</v>
      </c>
      <c r="P42" s="44" t="n">
        <f aca="false">N42-L42</f>
        <v>0</v>
      </c>
      <c r="R42" s="42" t="str">
        <f aca="false">IF($A42&gt;Inputs!$C$11,"",IF($A42=Inputs!$C$11,"Redemption received / senior repaid","Net interest margin"))</f>
        <v/>
      </c>
      <c r="S42" s="44" t="n">
        <f aca="false">L42</f>
        <v>0</v>
      </c>
      <c r="T42" s="44" t="n">
        <f aca="false">F42-M42</f>
        <v>0</v>
      </c>
      <c r="U42" s="44" t="n">
        <f aca="false">G42</f>
        <v>0</v>
      </c>
      <c r="V42" s="44" t="n">
        <f aca="false">IF($A42&lt;Inputs!$C$11,Inputs!$C$36,0)</f>
        <v>0</v>
      </c>
      <c r="W42" s="44" t="n">
        <f aca="false">U42-S42</f>
        <v>0</v>
      </c>
    </row>
    <row r="43" customFormat="false" ht="15" hidden="false" customHeight="false" outlineLevel="0" collapsed="false">
      <c r="A43" s="40" t="n">
        <v>27</v>
      </c>
      <c r="B43" s="41" t="n">
        <f aca="false">EDATE($B$16,27)</f>
        <v>47058</v>
      </c>
      <c r="C43" s="42" t="str">
        <f aca="false">IF($A43&gt;Inputs!$C$11,"",IF($A43=Inputs!$C$11,"Interest + exit fee + redemption","Interest"))</f>
        <v/>
      </c>
      <c r="D43" s="45" t="str">
        <f aca="false">IF($A43&gt;Inputs!$C$11,"",B43-B42)</f>
        <v/>
      </c>
      <c r="E43" s="44" t="n">
        <v>0</v>
      </c>
      <c r="F43" s="44" t="n">
        <f aca="false">IF($A43&lt;=Inputs!$C$11,Inputs!$C$14*Inputs!$C$21*D43/365,0)</f>
        <v>0</v>
      </c>
      <c r="G43" s="44" t="n">
        <f aca="false">IF(Inputs!$C$22="Serviced Monthly",F43,0)+IF($A43=Inputs!$C$11,Inputs!$C$14+Inputs!$D$17,0)</f>
        <v>0</v>
      </c>
      <c r="H43" s="44" t="n">
        <f aca="false">IF($A43&lt;Inputs!$C$11,Inputs!$C$14,0)</f>
        <v>0</v>
      </c>
      <c r="I43" s="44" t="n">
        <f aca="false">G43</f>
        <v>0</v>
      </c>
      <c r="K43" s="42" t="str">
        <f aca="false">IF($A43&gt;Inputs!$C$11,"",IF($A43=Inputs!$C$11,"Repay senior + interest + exit fee","Senior interest"))</f>
        <v/>
      </c>
      <c r="L43" s="44" t="n">
        <f aca="false">M43+IF($A43=Inputs!$C$11,Inputs!$C$35+Inputs!$D$34,0)</f>
        <v>0</v>
      </c>
      <c r="M43" s="44" t="n">
        <f aca="false">IF($A43&lt;=Inputs!$C$11,Inputs!$C$35*Inputs!$C$33*D43/365,0)</f>
        <v>0</v>
      </c>
      <c r="N43" s="44" t="n">
        <v>0</v>
      </c>
      <c r="O43" s="44" t="n">
        <f aca="false">IF($A43&lt;Inputs!$C$11,Inputs!$C$35,0)</f>
        <v>0</v>
      </c>
      <c r="P43" s="44" t="n">
        <f aca="false">N43-L43</f>
        <v>0</v>
      </c>
      <c r="R43" s="42" t="str">
        <f aca="false">IF($A43&gt;Inputs!$C$11,"",IF($A43=Inputs!$C$11,"Redemption received / senior repaid","Net interest margin"))</f>
        <v/>
      </c>
      <c r="S43" s="44" t="n">
        <f aca="false">L43</f>
        <v>0</v>
      </c>
      <c r="T43" s="44" t="n">
        <f aca="false">F43-M43</f>
        <v>0</v>
      </c>
      <c r="U43" s="44" t="n">
        <f aca="false">G43</f>
        <v>0</v>
      </c>
      <c r="V43" s="44" t="n">
        <f aca="false">IF($A43&lt;Inputs!$C$11,Inputs!$C$36,0)</f>
        <v>0</v>
      </c>
      <c r="W43" s="44" t="n">
        <f aca="false">U43-S43</f>
        <v>0</v>
      </c>
    </row>
    <row r="44" customFormat="false" ht="15" hidden="false" customHeight="false" outlineLevel="0" collapsed="false">
      <c r="A44" s="40" t="n">
        <v>28</v>
      </c>
      <c r="B44" s="41" t="n">
        <f aca="false">EDATE($B$16,28)</f>
        <v>47088</v>
      </c>
      <c r="C44" s="42" t="str">
        <f aca="false">IF($A44&gt;Inputs!$C$11,"",IF($A44=Inputs!$C$11,"Interest + exit fee + redemption","Interest"))</f>
        <v/>
      </c>
      <c r="D44" s="45" t="str">
        <f aca="false">IF($A44&gt;Inputs!$C$11,"",B44-B43)</f>
        <v/>
      </c>
      <c r="E44" s="44" t="n">
        <v>0</v>
      </c>
      <c r="F44" s="44" t="n">
        <f aca="false">IF($A44&lt;=Inputs!$C$11,Inputs!$C$14*Inputs!$C$21*D44/365,0)</f>
        <v>0</v>
      </c>
      <c r="G44" s="44" t="n">
        <f aca="false">IF(Inputs!$C$22="Serviced Monthly",F44,0)+IF($A44=Inputs!$C$11,Inputs!$C$14+Inputs!$D$17,0)</f>
        <v>0</v>
      </c>
      <c r="H44" s="44" t="n">
        <f aca="false">IF($A44&lt;Inputs!$C$11,Inputs!$C$14,0)</f>
        <v>0</v>
      </c>
      <c r="I44" s="44" t="n">
        <f aca="false">G44</f>
        <v>0</v>
      </c>
      <c r="K44" s="42" t="str">
        <f aca="false">IF($A44&gt;Inputs!$C$11,"",IF($A44=Inputs!$C$11,"Repay senior + interest + exit fee","Senior interest"))</f>
        <v/>
      </c>
      <c r="L44" s="44" t="n">
        <f aca="false">M44+IF($A44=Inputs!$C$11,Inputs!$C$35+Inputs!$D$34,0)</f>
        <v>0</v>
      </c>
      <c r="M44" s="44" t="n">
        <f aca="false">IF($A44&lt;=Inputs!$C$11,Inputs!$C$35*Inputs!$C$33*D44/365,0)</f>
        <v>0</v>
      </c>
      <c r="N44" s="44" t="n">
        <v>0</v>
      </c>
      <c r="O44" s="44" t="n">
        <f aca="false">IF($A44&lt;Inputs!$C$11,Inputs!$C$35,0)</f>
        <v>0</v>
      </c>
      <c r="P44" s="44" t="n">
        <f aca="false">N44-L44</f>
        <v>0</v>
      </c>
      <c r="R44" s="42" t="str">
        <f aca="false">IF($A44&gt;Inputs!$C$11,"",IF($A44=Inputs!$C$11,"Redemption received / senior repaid","Net interest margin"))</f>
        <v/>
      </c>
      <c r="S44" s="44" t="n">
        <f aca="false">L44</f>
        <v>0</v>
      </c>
      <c r="T44" s="44" t="n">
        <f aca="false">F44-M44</f>
        <v>0</v>
      </c>
      <c r="U44" s="44" t="n">
        <f aca="false">G44</f>
        <v>0</v>
      </c>
      <c r="V44" s="44" t="n">
        <f aca="false">IF($A44&lt;Inputs!$C$11,Inputs!$C$36,0)</f>
        <v>0</v>
      </c>
      <c r="W44" s="44" t="n">
        <f aca="false">U44-S44</f>
        <v>0</v>
      </c>
    </row>
    <row r="45" customFormat="false" ht="15" hidden="false" customHeight="false" outlineLevel="0" collapsed="false">
      <c r="A45" s="40" t="n">
        <v>29</v>
      </c>
      <c r="B45" s="41" t="n">
        <f aca="false">EDATE($B$16,29)</f>
        <v>47119</v>
      </c>
      <c r="C45" s="42" t="str">
        <f aca="false">IF($A45&gt;Inputs!$C$11,"",IF($A45=Inputs!$C$11,"Interest + exit fee + redemption","Interest"))</f>
        <v/>
      </c>
      <c r="D45" s="45" t="str">
        <f aca="false">IF($A45&gt;Inputs!$C$11,"",B45-B44)</f>
        <v/>
      </c>
      <c r="E45" s="44" t="n">
        <v>0</v>
      </c>
      <c r="F45" s="44" t="n">
        <f aca="false">IF($A45&lt;=Inputs!$C$11,Inputs!$C$14*Inputs!$C$21*D45/365,0)</f>
        <v>0</v>
      </c>
      <c r="G45" s="44" t="n">
        <f aca="false">IF(Inputs!$C$22="Serviced Monthly",F45,0)+IF($A45=Inputs!$C$11,Inputs!$C$14+Inputs!$D$17,0)</f>
        <v>0</v>
      </c>
      <c r="H45" s="44" t="n">
        <f aca="false">IF($A45&lt;Inputs!$C$11,Inputs!$C$14,0)</f>
        <v>0</v>
      </c>
      <c r="I45" s="44" t="n">
        <f aca="false">G45</f>
        <v>0</v>
      </c>
      <c r="K45" s="42" t="str">
        <f aca="false">IF($A45&gt;Inputs!$C$11,"",IF($A45=Inputs!$C$11,"Repay senior + interest + exit fee","Senior interest"))</f>
        <v/>
      </c>
      <c r="L45" s="44" t="n">
        <f aca="false">M45+IF($A45=Inputs!$C$11,Inputs!$C$35+Inputs!$D$34,0)</f>
        <v>0</v>
      </c>
      <c r="M45" s="44" t="n">
        <f aca="false">IF($A45&lt;=Inputs!$C$11,Inputs!$C$35*Inputs!$C$33*D45/365,0)</f>
        <v>0</v>
      </c>
      <c r="N45" s="44" t="n">
        <v>0</v>
      </c>
      <c r="O45" s="44" t="n">
        <f aca="false">IF($A45&lt;Inputs!$C$11,Inputs!$C$35,0)</f>
        <v>0</v>
      </c>
      <c r="P45" s="44" t="n">
        <f aca="false">N45-L45</f>
        <v>0</v>
      </c>
      <c r="R45" s="42" t="str">
        <f aca="false">IF($A45&gt;Inputs!$C$11,"",IF($A45=Inputs!$C$11,"Redemption received / senior repaid","Net interest margin"))</f>
        <v/>
      </c>
      <c r="S45" s="44" t="n">
        <f aca="false">L45</f>
        <v>0</v>
      </c>
      <c r="T45" s="44" t="n">
        <f aca="false">F45-M45</f>
        <v>0</v>
      </c>
      <c r="U45" s="44" t="n">
        <f aca="false">G45</f>
        <v>0</v>
      </c>
      <c r="V45" s="44" t="n">
        <f aca="false">IF($A45&lt;Inputs!$C$11,Inputs!$C$36,0)</f>
        <v>0</v>
      </c>
      <c r="W45" s="44" t="n">
        <f aca="false">U45-S45</f>
        <v>0</v>
      </c>
    </row>
    <row r="46" customFormat="false" ht="15" hidden="false" customHeight="false" outlineLevel="0" collapsed="false">
      <c r="A46" s="40" t="n">
        <v>30</v>
      </c>
      <c r="B46" s="41" t="n">
        <f aca="false">EDATE($B$16,30)</f>
        <v>47150</v>
      </c>
      <c r="C46" s="42" t="str">
        <f aca="false">IF($A46&gt;Inputs!$C$11,"",IF($A46=Inputs!$C$11,"Interest + exit fee + redemption","Interest"))</f>
        <v/>
      </c>
      <c r="D46" s="45" t="str">
        <f aca="false">IF($A46&gt;Inputs!$C$11,"",B46-B45)</f>
        <v/>
      </c>
      <c r="E46" s="44" t="n">
        <v>0</v>
      </c>
      <c r="F46" s="44" t="n">
        <f aca="false">IF($A46&lt;=Inputs!$C$11,Inputs!$C$14*Inputs!$C$21*D46/365,0)</f>
        <v>0</v>
      </c>
      <c r="G46" s="44" t="n">
        <f aca="false">IF(Inputs!$C$22="Serviced Monthly",F46,0)+IF($A46=Inputs!$C$11,Inputs!$C$14+Inputs!$D$17,0)</f>
        <v>0</v>
      </c>
      <c r="H46" s="44" t="n">
        <f aca="false">IF($A46&lt;Inputs!$C$11,Inputs!$C$14,0)</f>
        <v>0</v>
      </c>
      <c r="I46" s="44" t="n">
        <f aca="false">G46</f>
        <v>0</v>
      </c>
      <c r="K46" s="42" t="str">
        <f aca="false">IF($A46&gt;Inputs!$C$11,"",IF($A46=Inputs!$C$11,"Repay senior + interest + exit fee","Senior interest"))</f>
        <v/>
      </c>
      <c r="L46" s="44" t="n">
        <f aca="false">M46+IF($A46=Inputs!$C$11,Inputs!$C$35+Inputs!$D$34,0)</f>
        <v>0</v>
      </c>
      <c r="M46" s="44" t="n">
        <f aca="false">IF($A46&lt;=Inputs!$C$11,Inputs!$C$35*Inputs!$C$33*D46/365,0)</f>
        <v>0</v>
      </c>
      <c r="N46" s="44" t="n">
        <v>0</v>
      </c>
      <c r="O46" s="44" t="n">
        <f aca="false">IF($A46&lt;Inputs!$C$11,Inputs!$C$35,0)</f>
        <v>0</v>
      </c>
      <c r="P46" s="44" t="n">
        <f aca="false">N46-L46</f>
        <v>0</v>
      </c>
      <c r="R46" s="42" t="str">
        <f aca="false">IF($A46&gt;Inputs!$C$11,"",IF($A46=Inputs!$C$11,"Redemption received / senior repaid","Net interest margin"))</f>
        <v/>
      </c>
      <c r="S46" s="44" t="n">
        <f aca="false">L46</f>
        <v>0</v>
      </c>
      <c r="T46" s="44" t="n">
        <f aca="false">F46-M46</f>
        <v>0</v>
      </c>
      <c r="U46" s="44" t="n">
        <f aca="false">G46</f>
        <v>0</v>
      </c>
      <c r="V46" s="44" t="n">
        <f aca="false">IF($A46&lt;Inputs!$C$11,Inputs!$C$36,0)</f>
        <v>0</v>
      </c>
      <c r="W46" s="44" t="n">
        <f aca="false">U46-S46</f>
        <v>0</v>
      </c>
    </row>
    <row r="47" customFormat="false" ht="15" hidden="false" customHeight="false" outlineLevel="0" collapsed="false">
      <c r="A47" s="40" t="n">
        <v>31</v>
      </c>
      <c r="B47" s="41" t="n">
        <f aca="false">EDATE($B$16,31)</f>
        <v>47178</v>
      </c>
      <c r="C47" s="42" t="str">
        <f aca="false">IF($A47&gt;Inputs!$C$11,"",IF($A47=Inputs!$C$11,"Interest + exit fee + redemption","Interest"))</f>
        <v/>
      </c>
      <c r="D47" s="45" t="str">
        <f aca="false">IF($A47&gt;Inputs!$C$11,"",B47-B46)</f>
        <v/>
      </c>
      <c r="E47" s="44" t="n">
        <v>0</v>
      </c>
      <c r="F47" s="44" t="n">
        <f aca="false">IF($A47&lt;=Inputs!$C$11,Inputs!$C$14*Inputs!$C$21*D47/365,0)</f>
        <v>0</v>
      </c>
      <c r="G47" s="44" t="n">
        <f aca="false">IF(Inputs!$C$22="Serviced Monthly",F47,0)+IF($A47=Inputs!$C$11,Inputs!$C$14+Inputs!$D$17,0)</f>
        <v>0</v>
      </c>
      <c r="H47" s="44" t="n">
        <f aca="false">IF($A47&lt;Inputs!$C$11,Inputs!$C$14,0)</f>
        <v>0</v>
      </c>
      <c r="I47" s="44" t="n">
        <f aca="false">G47</f>
        <v>0</v>
      </c>
      <c r="K47" s="42" t="str">
        <f aca="false">IF($A47&gt;Inputs!$C$11,"",IF($A47=Inputs!$C$11,"Repay senior + interest + exit fee","Senior interest"))</f>
        <v/>
      </c>
      <c r="L47" s="44" t="n">
        <f aca="false">M47+IF($A47=Inputs!$C$11,Inputs!$C$35+Inputs!$D$34,0)</f>
        <v>0</v>
      </c>
      <c r="M47" s="44" t="n">
        <f aca="false">IF($A47&lt;=Inputs!$C$11,Inputs!$C$35*Inputs!$C$33*D47/365,0)</f>
        <v>0</v>
      </c>
      <c r="N47" s="44" t="n">
        <v>0</v>
      </c>
      <c r="O47" s="44" t="n">
        <f aca="false">IF($A47&lt;Inputs!$C$11,Inputs!$C$35,0)</f>
        <v>0</v>
      </c>
      <c r="P47" s="44" t="n">
        <f aca="false">N47-L47</f>
        <v>0</v>
      </c>
      <c r="R47" s="42" t="str">
        <f aca="false">IF($A47&gt;Inputs!$C$11,"",IF($A47=Inputs!$C$11,"Redemption received / senior repaid","Net interest margin"))</f>
        <v/>
      </c>
      <c r="S47" s="44" t="n">
        <f aca="false">L47</f>
        <v>0</v>
      </c>
      <c r="T47" s="44" t="n">
        <f aca="false">F47-M47</f>
        <v>0</v>
      </c>
      <c r="U47" s="44" t="n">
        <f aca="false">G47</f>
        <v>0</v>
      </c>
      <c r="V47" s="44" t="n">
        <f aca="false">IF($A47&lt;Inputs!$C$11,Inputs!$C$36,0)</f>
        <v>0</v>
      </c>
      <c r="W47" s="44" t="n">
        <f aca="false">U47-S47</f>
        <v>0</v>
      </c>
    </row>
    <row r="48" customFormat="false" ht="15" hidden="false" customHeight="false" outlineLevel="0" collapsed="false">
      <c r="A48" s="40" t="n">
        <v>32</v>
      </c>
      <c r="B48" s="41" t="n">
        <f aca="false">EDATE($B$16,32)</f>
        <v>47209</v>
      </c>
      <c r="C48" s="42" t="str">
        <f aca="false">IF($A48&gt;Inputs!$C$11,"",IF($A48=Inputs!$C$11,"Interest + exit fee + redemption","Interest"))</f>
        <v/>
      </c>
      <c r="D48" s="45" t="str">
        <f aca="false">IF($A48&gt;Inputs!$C$11,"",B48-B47)</f>
        <v/>
      </c>
      <c r="E48" s="44" t="n">
        <v>0</v>
      </c>
      <c r="F48" s="44" t="n">
        <f aca="false">IF($A48&lt;=Inputs!$C$11,Inputs!$C$14*Inputs!$C$21*D48/365,0)</f>
        <v>0</v>
      </c>
      <c r="G48" s="44" t="n">
        <f aca="false">IF(Inputs!$C$22="Serviced Monthly",F48,0)+IF($A48=Inputs!$C$11,Inputs!$C$14+Inputs!$D$17,0)</f>
        <v>0</v>
      </c>
      <c r="H48" s="44" t="n">
        <f aca="false">IF($A48&lt;Inputs!$C$11,Inputs!$C$14,0)</f>
        <v>0</v>
      </c>
      <c r="I48" s="44" t="n">
        <f aca="false">G48</f>
        <v>0</v>
      </c>
      <c r="K48" s="42" t="str">
        <f aca="false">IF($A48&gt;Inputs!$C$11,"",IF($A48=Inputs!$C$11,"Repay senior + interest + exit fee","Senior interest"))</f>
        <v/>
      </c>
      <c r="L48" s="44" t="n">
        <f aca="false">M48+IF($A48=Inputs!$C$11,Inputs!$C$35+Inputs!$D$34,0)</f>
        <v>0</v>
      </c>
      <c r="M48" s="44" t="n">
        <f aca="false">IF($A48&lt;=Inputs!$C$11,Inputs!$C$35*Inputs!$C$33*D48/365,0)</f>
        <v>0</v>
      </c>
      <c r="N48" s="44" t="n">
        <v>0</v>
      </c>
      <c r="O48" s="44" t="n">
        <f aca="false">IF($A48&lt;Inputs!$C$11,Inputs!$C$35,0)</f>
        <v>0</v>
      </c>
      <c r="P48" s="44" t="n">
        <f aca="false">N48-L48</f>
        <v>0</v>
      </c>
      <c r="R48" s="42" t="str">
        <f aca="false">IF($A48&gt;Inputs!$C$11,"",IF($A48=Inputs!$C$11,"Redemption received / senior repaid","Net interest margin"))</f>
        <v/>
      </c>
      <c r="S48" s="44" t="n">
        <f aca="false">L48</f>
        <v>0</v>
      </c>
      <c r="T48" s="44" t="n">
        <f aca="false">F48-M48</f>
        <v>0</v>
      </c>
      <c r="U48" s="44" t="n">
        <f aca="false">G48</f>
        <v>0</v>
      </c>
      <c r="V48" s="44" t="n">
        <f aca="false">IF($A48&lt;Inputs!$C$11,Inputs!$C$36,0)</f>
        <v>0</v>
      </c>
      <c r="W48" s="44" t="n">
        <f aca="false">U48-S48</f>
        <v>0</v>
      </c>
    </row>
    <row r="49" customFormat="false" ht="15" hidden="false" customHeight="false" outlineLevel="0" collapsed="false">
      <c r="A49" s="40" t="n">
        <v>33</v>
      </c>
      <c r="B49" s="41" t="n">
        <f aca="false">EDATE($B$16,33)</f>
        <v>47239</v>
      </c>
      <c r="C49" s="42" t="str">
        <f aca="false">IF($A49&gt;Inputs!$C$11,"",IF($A49=Inputs!$C$11,"Interest + exit fee + redemption","Interest"))</f>
        <v/>
      </c>
      <c r="D49" s="45" t="str">
        <f aca="false">IF($A49&gt;Inputs!$C$11,"",B49-B48)</f>
        <v/>
      </c>
      <c r="E49" s="44" t="n">
        <v>0</v>
      </c>
      <c r="F49" s="44" t="n">
        <f aca="false">IF($A49&lt;=Inputs!$C$11,Inputs!$C$14*Inputs!$C$21*D49/365,0)</f>
        <v>0</v>
      </c>
      <c r="G49" s="44" t="n">
        <f aca="false">IF(Inputs!$C$22="Serviced Monthly",F49,0)+IF($A49=Inputs!$C$11,Inputs!$C$14+Inputs!$D$17,0)</f>
        <v>0</v>
      </c>
      <c r="H49" s="44" t="n">
        <f aca="false">IF($A49&lt;Inputs!$C$11,Inputs!$C$14,0)</f>
        <v>0</v>
      </c>
      <c r="I49" s="44" t="n">
        <f aca="false">G49</f>
        <v>0</v>
      </c>
      <c r="K49" s="42" t="str">
        <f aca="false">IF($A49&gt;Inputs!$C$11,"",IF($A49=Inputs!$C$11,"Repay senior + interest + exit fee","Senior interest"))</f>
        <v/>
      </c>
      <c r="L49" s="44" t="n">
        <f aca="false">M49+IF($A49=Inputs!$C$11,Inputs!$C$35+Inputs!$D$34,0)</f>
        <v>0</v>
      </c>
      <c r="M49" s="44" t="n">
        <f aca="false">IF($A49&lt;=Inputs!$C$11,Inputs!$C$35*Inputs!$C$33*D49/365,0)</f>
        <v>0</v>
      </c>
      <c r="N49" s="44" t="n">
        <v>0</v>
      </c>
      <c r="O49" s="44" t="n">
        <f aca="false">IF($A49&lt;Inputs!$C$11,Inputs!$C$35,0)</f>
        <v>0</v>
      </c>
      <c r="P49" s="44" t="n">
        <f aca="false">N49-L49</f>
        <v>0</v>
      </c>
      <c r="R49" s="42" t="str">
        <f aca="false">IF($A49&gt;Inputs!$C$11,"",IF($A49=Inputs!$C$11,"Redemption received / senior repaid","Net interest margin"))</f>
        <v/>
      </c>
      <c r="S49" s="44" t="n">
        <f aca="false">L49</f>
        <v>0</v>
      </c>
      <c r="T49" s="44" t="n">
        <f aca="false">F49-M49</f>
        <v>0</v>
      </c>
      <c r="U49" s="44" t="n">
        <f aca="false">G49</f>
        <v>0</v>
      </c>
      <c r="V49" s="44" t="n">
        <f aca="false">IF($A49&lt;Inputs!$C$11,Inputs!$C$36,0)</f>
        <v>0</v>
      </c>
      <c r="W49" s="44" t="n">
        <f aca="false">U49-S49</f>
        <v>0</v>
      </c>
    </row>
    <row r="50" customFormat="false" ht="15" hidden="false" customHeight="false" outlineLevel="0" collapsed="false">
      <c r="A50" s="40" t="n">
        <v>34</v>
      </c>
      <c r="B50" s="41" t="n">
        <f aca="false">EDATE($B$16,34)</f>
        <v>47270</v>
      </c>
      <c r="C50" s="42" t="str">
        <f aca="false">IF($A50&gt;Inputs!$C$11,"",IF($A50=Inputs!$C$11,"Interest + exit fee + redemption","Interest"))</f>
        <v/>
      </c>
      <c r="D50" s="45" t="str">
        <f aca="false">IF($A50&gt;Inputs!$C$11,"",B50-B49)</f>
        <v/>
      </c>
      <c r="E50" s="44" t="n">
        <v>0</v>
      </c>
      <c r="F50" s="44" t="n">
        <f aca="false">IF($A50&lt;=Inputs!$C$11,Inputs!$C$14*Inputs!$C$21*D50/365,0)</f>
        <v>0</v>
      </c>
      <c r="G50" s="44" t="n">
        <f aca="false">IF(Inputs!$C$22="Serviced Monthly",F50,0)+IF($A50=Inputs!$C$11,Inputs!$C$14+Inputs!$D$17,0)</f>
        <v>0</v>
      </c>
      <c r="H50" s="44" t="n">
        <f aca="false">IF($A50&lt;Inputs!$C$11,Inputs!$C$14,0)</f>
        <v>0</v>
      </c>
      <c r="I50" s="44" t="n">
        <f aca="false">G50</f>
        <v>0</v>
      </c>
      <c r="K50" s="42" t="str">
        <f aca="false">IF($A50&gt;Inputs!$C$11,"",IF($A50=Inputs!$C$11,"Repay senior + interest + exit fee","Senior interest"))</f>
        <v/>
      </c>
      <c r="L50" s="44" t="n">
        <f aca="false">M50+IF($A50=Inputs!$C$11,Inputs!$C$35+Inputs!$D$34,0)</f>
        <v>0</v>
      </c>
      <c r="M50" s="44" t="n">
        <f aca="false">IF($A50&lt;=Inputs!$C$11,Inputs!$C$35*Inputs!$C$33*D50/365,0)</f>
        <v>0</v>
      </c>
      <c r="N50" s="44" t="n">
        <v>0</v>
      </c>
      <c r="O50" s="44" t="n">
        <f aca="false">IF($A50&lt;Inputs!$C$11,Inputs!$C$35,0)</f>
        <v>0</v>
      </c>
      <c r="P50" s="44" t="n">
        <f aca="false">N50-L50</f>
        <v>0</v>
      </c>
      <c r="R50" s="42" t="str">
        <f aca="false">IF($A50&gt;Inputs!$C$11,"",IF($A50=Inputs!$C$11,"Redemption received / senior repaid","Net interest margin"))</f>
        <v/>
      </c>
      <c r="S50" s="44" t="n">
        <f aca="false">L50</f>
        <v>0</v>
      </c>
      <c r="T50" s="44" t="n">
        <f aca="false">F50-M50</f>
        <v>0</v>
      </c>
      <c r="U50" s="44" t="n">
        <f aca="false">G50</f>
        <v>0</v>
      </c>
      <c r="V50" s="44" t="n">
        <f aca="false">IF($A50&lt;Inputs!$C$11,Inputs!$C$36,0)</f>
        <v>0</v>
      </c>
      <c r="W50" s="44" t="n">
        <f aca="false">U50-S50</f>
        <v>0</v>
      </c>
    </row>
    <row r="51" customFormat="false" ht="15" hidden="false" customHeight="false" outlineLevel="0" collapsed="false">
      <c r="A51" s="40" t="n">
        <v>35</v>
      </c>
      <c r="B51" s="41" t="n">
        <f aca="false">EDATE($B$16,35)</f>
        <v>47300</v>
      </c>
      <c r="C51" s="42" t="str">
        <f aca="false">IF($A51&gt;Inputs!$C$11,"",IF($A51=Inputs!$C$11,"Interest + exit fee + redemption","Interest"))</f>
        <v/>
      </c>
      <c r="D51" s="45" t="str">
        <f aca="false">IF($A51&gt;Inputs!$C$11,"",B51-B50)</f>
        <v/>
      </c>
      <c r="E51" s="44" t="n">
        <v>0</v>
      </c>
      <c r="F51" s="44" t="n">
        <f aca="false">IF($A51&lt;=Inputs!$C$11,Inputs!$C$14*Inputs!$C$21*D51/365,0)</f>
        <v>0</v>
      </c>
      <c r="G51" s="44" t="n">
        <f aca="false">IF(Inputs!$C$22="Serviced Monthly",F51,0)+IF($A51=Inputs!$C$11,Inputs!$C$14+Inputs!$D$17,0)</f>
        <v>0</v>
      </c>
      <c r="H51" s="44" t="n">
        <f aca="false">IF($A51&lt;Inputs!$C$11,Inputs!$C$14,0)</f>
        <v>0</v>
      </c>
      <c r="I51" s="44" t="n">
        <f aca="false">G51</f>
        <v>0</v>
      </c>
      <c r="K51" s="42" t="str">
        <f aca="false">IF($A51&gt;Inputs!$C$11,"",IF($A51=Inputs!$C$11,"Repay senior + interest + exit fee","Senior interest"))</f>
        <v/>
      </c>
      <c r="L51" s="44" t="n">
        <f aca="false">M51+IF($A51=Inputs!$C$11,Inputs!$C$35+Inputs!$D$34,0)</f>
        <v>0</v>
      </c>
      <c r="M51" s="44" t="n">
        <f aca="false">IF($A51&lt;=Inputs!$C$11,Inputs!$C$35*Inputs!$C$33*D51/365,0)</f>
        <v>0</v>
      </c>
      <c r="N51" s="44" t="n">
        <v>0</v>
      </c>
      <c r="O51" s="44" t="n">
        <f aca="false">IF($A51&lt;Inputs!$C$11,Inputs!$C$35,0)</f>
        <v>0</v>
      </c>
      <c r="P51" s="44" t="n">
        <f aca="false">N51-L51</f>
        <v>0</v>
      </c>
      <c r="R51" s="42" t="str">
        <f aca="false">IF($A51&gt;Inputs!$C$11,"",IF($A51=Inputs!$C$11,"Redemption received / senior repaid","Net interest margin"))</f>
        <v/>
      </c>
      <c r="S51" s="44" t="n">
        <f aca="false">L51</f>
        <v>0</v>
      </c>
      <c r="T51" s="44" t="n">
        <f aca="false">F51-M51</f>
        <v>0</v>
      </c>
      <c r="U51" s="44" t="n">
        <f aca="false">G51</f>
        <v>0</v>
      </c>
      <c r="V51" s="44" t="n">
        <f aca="false">IF($A51&lt;Inputs!$C$11,Inputs!$C$36,0)</f>
        <v>0</v>
      </c>
      <c r="W51" s="44" t="n">
        <f aca="false">U51-S51</f>
        <v>0</v>
      </c>
    </row>
    <row r="52" customFormat="false" ht="15" hidden="false" customHeight="false" outlineLevel="0" collapsed="false">
      <c r="A52" s="40" t="n">
        <v>36</v>
      </c>
      <c r="B52" s="41" t="n">
        <f aca="false">EDATE($B$16,36)</f>
        <v>47331</v>
      </c>
      <c r="C52" s="42" t="str">
        <f aca="false">IF($A52&gt;Inputs!$C$11,"",IF($A52=Inputs!$C$11,"Interest + exit fee + redemption","Interest"))</f>
        <v/>
      </c>
      <c r="D52" s="45" t="str">
        <f aca="false">IF($A52&gt;Inputs!$C$11,"",B52-B51)</f>
        <v/>
      </c>
      <c r="E52" s="44" t="n">
        <v>0</v>
      </c>
      <c r="F52" s="44" t="n">
        <f aca="false">IF($A52&lt;=Inputs!$C$11,Inputs!$C$14*Inputs!$C$21*D52/365,0)</f>
        <v>0</v>
      </c>
      <c r="G52" s="44" t="n">
        <f aca="false">IF(Inputs!$C$22="Serviced Monthly",F52,0)+IF($A52=Inputs!$C$11,Inputs!$C$14+Inputs!$D$17,0)</f>
        <v>0</v>
      </c>
      <c r="H52" s="44" t="n">
        <f aca="false">IF($A52&lt;Inputs!$C$11,Inputs!$C$14,0)</f>
        <v>0</v>
      </c>
      <c r="I52" s="44" t="n">
        <f aca="false">G52</f>
        <v>0</v>
      </c>
      <c r="K52" s="42" t="str">
        <f aca="false">IF($A52&gt;Inputs!$C$11,"",IF($A52=Inputs!$C$11,"Repay senior + interest + exit fee","Senior interest"))</f>
        <v/>
      </c>
      <c r="L52" s="44" t="n">
        <f aca="false">M52+IF($A52=Inputs!$C$11,Inputs!$C$35+Inputs!$D$34,0)</f>
        <v>0</v>
      </c>
      <c r="M52" s="44" t="n">
        <f aca="false">IF($A52&lt;=Inputs!$C$11,Inputs!$C$35*Inputs!$C$33*D52/365,0)</f>
        <v>0</v>
      </c>
      <c r="N52" s="44" t="n">
        <v>0</v>
      </c>
      <c r="O52" s="44" t="n">
        <f aca="false">IF($A52&lt;Inputs!$C$11,Inputs!$C$35,0)</f>
        <v>0</v>
      </c>
      <c r="P52" s="44" t="n">
        <f aca="false">N52-L52</f>
        <v>0</v>
      </c>
      <c r="R52" s="42" t="str">
        <f aca="false">IF($A52&gt;Inputs!$C$11,"",IF($A52=Inputs!$C$11,"Redemption received / senior repaid","Net interest margin"))</f>
        <v/>
      </c>
      <c r="S52" s="44" t="n">
        <f aca="false">L52</f>
        <v>0</v>
      </c>
      <c r="T52" s="44" t="n">
        <f aca="false">F52-M52</f>
        <v>0</v>
      </c>
      <c r="U52" s="44" t="n">
        <f aca="false">G52</f>
        <v>0</v>
      </c>
      <c r="V52" s="44" t="n">
        <f aca="false">IF($A52&lt;Inputs!$C$11,Inputs!$C$36,0)</f>
        <v>0</v>
      </c>
      <c r="W52" s="44" t="n">
        <f aca="false">U52-S52</f>
        <v>0</v>
      </c>
    </row>
    <row r="53" customFormat="false" ht="15" hidden="false" customHeight="false" outlineLevel="0" collapsed="false">
      <c r="A53" s="46"/>
      <c r="B53" s="47" t="s">
        <v>120</v>
      </c>
      <c r="C53" s="46"/>
      <c r="D53" s="46"/>
      <c r="E53" s="48" t="n">
        <f aca="false">SUM(E16:E52)</f>
        <v>3700000</v>
      </c>
      <c r="F53" s="48" t="n">
        <f aca="false">SUM(F16:F52)</f>
        <v>611336.301369863</v>
      </c>
      <c r="G53" s="48" t="n">
        <f aca="false">SUM(G16:G52)</f>
        <v>4385336.30136986</v>
      </c>
      <c r="H53" s="46"/>
      <c r="I53" s="48" t="n">
        <f aca="false">SUM(I16:I52)</f>
        <v>685336.301369863</v>
      </c>
      <c r="K53" s="46"/>
      <c r="L53" s="48" t="n">
        <f aca="false">SUM(L16:L52)</f>
        <v>3136225.17123288</v>
      </c>
      <c r="M53" s="48" t="n">
        <f aca="false">SUM(M16:M52)</f>
        <v>347350.171232877</v>
      </c>
      <c r="N53" s="48" t="n">
        <f aca="false">SUM(N16:N52)</f>
        <v>2775000</v>
      </c>
      <c r="O53" s="46"/>
      <c r="P53" s="48" t="n">
        <f aca="false">SUM(P16:P52)</f>
        <v>-361225.171232877</v>
      </c>
      <c r="R53" s="46"/>
      <c r="S53" s="48" t="n">
        <f aca="false">SUM(S16:S52)</f>
        <v>6799225.17123288</v>
      </c>
      <c r="T53" s="48" t="n">
        <f aca="false">SUM(T16:T52)</f>
        <v>263986.130136986</v>
      </c>
      <c r="U53" s="48" t="n">
        <f aca="false">SUM(U16:U52)</f>
        <v>7123336.30136986</v>
      </c>
      <c r="V53" s="46"/>
      <c r="W53" s="48" t="n">
        <f aca="false">SUM(W16:W52)</f>
        <v>324111.130136986</v>
      </c>
    </row>
    <row r="55" customFormat="false" ht="15" hidden="false" customHeight="false" outlineLevel="0" collapsed="false">
      <c r="C55" s="49" t="s">
        <v>121</v>
      </c>
      <c r="D55" s="50"/>
      <c r="E55" s="50"/>
      <c r="F55" s="51" t="n">
        <f aca="false">I53</f>
        <v>685336.301369863</v>
      </c>
    </row>
    <row r="56" customFormat="false" ht="15" hidden="false" customHeight="false" outlineLevel="0" collapsed="false">
      <c r="C56" s="49" t="s">
        <v>122</v>
      </c>
      <c r="D56" s="50"/>
      <c r="E56" s="50"/>
      <c r="F56" s="52" t="n">
        <f aca="false">XIRR(I16:I52,B16:B52)</f>
        <v>0.0965814104535055</v>
      </c>
    </row>
    <row r="57" customFormat="false" ht="15" hidden="false" customHeight="false" outlineLevel="0" collapsed="false">
      <c r="C57" s="49" t="s">
        <v>123</v>
      </c>
      <c r="D57" s="50"/>
      <c r="E57" s="50"/>
      <c r="F57" s="51" t="n">
        <f aca="false">-P53</f>
        <v>361225.171232877</v>
      </c>
    </row>
    <row r="58" customFormat="false" ht="15" hidden="false" customHeight="false" outlineLevel="0" collapsed="false">
      <c r="C58" s="49" t="s">
        <v>124</v>
      </c>
      <c r="D58" s="50"/>
      <c r="E58" s="50"/>
      <c r="F58" s="51" t="n">
        <f aca="false">W53</f>
        <v>324111.130136986</v>
      </c>
    </row>
    <row r="59" customFormat="false" ht="15" hidden="false" customHeight="false" outlineLevel="0" collapsed="false">
      <c r="C59" s="49" t="s">
        <v>125</v>
      </c>
      <c r="D59" s="50"/>
      <c r="E59" s="50"/>
      <c r="F59" s="52" t="n">
        <f aca="false">XIRR(W16:W52,B16:B52)</f>
        <v>0.188813541490083</v>
      </c>
    </row>
    <row r="60" customFormat="false" ht="15" hidden="false" customHeight="false" outlineLevel="0" collapsed="false">
      <c r="C60" s="49" t="s">
        <v>13</v>
      </c>
      <c r="D60" s="50"/>
      <c r="E60" s="50"/>
      <c r="F60" s="53" t="n">
        <f aca="false">IFERROR(1+W53/ABS(W16),"n/a")</f>
        <v>1.35937478047067</v>
      </c>
    </row>
    <row r="62" customFormat="false" ht="15" hidden="false" customHeight="false" outlineLevel="0" collapsed="false">
      <c r="C62" s="16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3864"/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5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7" t="str">
        <f aca="false">Inputs!C6&amp;" – DEAL SUMMARY"</f>
        <v>Housing First Group – DEAL SUMMARY</v>
      </c>
    </row>
    <row r="3" customFormat="false" ht="15" hidden="false" customHeight="false" outlineLevel="0" collapsed="false">
      <c r="B3" s="31" t="str">
        <f aca="false">Inputs!C8&amp;" | "&amp;Inputs!C9&amp;" | "&amp;TEXT(Inputs!C11,"0")&amp;" months | Gross £"&amp;TEXT(Inputs!C14,"#,##0")</f>
        <v>Residential | Bridge | 24 months | Gross £3,700,000</v>
      </c>
    </row>
    <row r="5" customFormat="false" ht="15" hidden="false" customHeight="false" outlineLevel="0" collapsed="false">
      <c r="B5" s="19" t="s">
        <v>127</v>
      </c>
      <c r="C5" s="20"/>
      <c r="D5" s="20"/>
      <c r="E5" s="20"/>
      <c r="F5" s="20"/>
    </row>
    <row r="6" customFormat="false" ht="15" hidden="false" customHeight="false" outlineLevel="0" collapsed="false">
      <c r="B6" s="7" t="s">
        <v>128</v>
      </c>
      <c r="C6" s="29" t="n">
        <f aca="false">Cashflow!F55</f>
        <v>685336.301369863</v>
      </c>
      <c r="D6" s="22"/>
      <c r="E6" s="22"/>
      <c r="F6" s="22"/>
    </row>
    <row r="7" customFormat="false" ht="15" hidden="false" customHeight="false" outlineLevel="0" collapsed="false">
      <c r="B7" s="7" t="s">
        <v>129</v>
      </c>
      <c r="C7" s="30" t="n">
        <f aca="false">Cashflow!F56</f>
        <v>0.0965814104535055</v>
      </c>
      <c r="D7" s="22"/>
      <c r="E7" s="22"/>
      <c r="F7" s="22"/>
    </row>
    <row r="8" customFormat="false" ht="15" hidden="false" customHeight="false" outlineLevel="0" collapsed="false">
      <c r="B8" s="7" t="s">
        <v>130</v>
      </c>
      <c r="C8" s="29" t="n">
        <f aca="false">Cashflow!F57</f>
        <v>361225.171232877</v>
      </c>
      <c r="D8" s="22"/>
      <c r="E8" s="22"/>
      <c r="F8" s="22"/>
    </row>
    <row r="9" customFormat="false" ht="15" hidden="false" customHeight="false" outlineLevel="0" collapsed="false">
      <c r="B9" s="12" t="s">
        <v>11</v>
      </c>
      <c r="C9" s="54" t="n">
        <f aca="false">Cashflow!F58</f>
        <v>324111.130136986</v>
      </c>
      <c r="D9" s="22"/>
      <c r="E9" s="22"/>
      <c r="F9" s="22"/>
    </row>
    <row r="10" customFormat="false" ht="15" hidden="false" customHeight="false" outlineLevel="0" collapsed="false">
      <c r="B10" s="12" t="s">
        <v>125</v>
      </c>
      <c r="C10" s="55" t="n">
        <f aca="false">Cashflow!F59</f>
        <v>0.188813541490083</v>
      </c>
      <c r="D10" s="22"/>
      <c r="E10" s="22"/>
      <c r="F10" s="22"/>
    </row>
    <row r="11" customFormat="false" ht="15" hidden="false" customHeight="false" outlineLevel="0" collapsed="false">
      <c r="B11" s="7" t="s">
        <v>13</v>
      </c>
      <c r="C11" s="56" t="n">
        <f aca="false">Cashflow!F60</f>
        <v>1.35937478047067</v>
      </c>
      <c r="D11" s="22"/>
      <c r="E11" s="22"/>
      <c r="F11" s="22"/>
    </row>
    <row r="12" customFormat="false" ht="15" hidden="false" customHeight="false" outlineLevel="0" collapsed="false">
      <c r="B12" s="7" t="s">
        <v>131</v>
      </c>
      <c r="C12" s="29" t="n">
        <f aca="false">Inputs!C36</f>
        <v>925000</v>
      </c>
      <c r="D12" s="22"/>
      <c r="E12" s="22"/>
      <c r="F12" s="22"/>
    </row>
    <row r="13" customFormat="false" ht="15" hidden="false" customHeight="false" outlineLevel="0" collapsed="false">
      <c r="B13" s="7" t="s">
        <v>132</v>
      </c>
      <c r="C13" s="30" t="n">
        <f aca="false">IFERROR(C9/Inputs!C36,"n/a")</f>
        <v>0.350390410958904</v>
      </c>
      <c r="D13" s="22"/>
      <c r="E13" s="22"/>
      <c r="F13" s="22"/>
    </row>
    <row r="15" customFormat="false" ht="15" hidden="false" customHeight="false" outlineLevel="0" collapsed="false">
      <c r="B15" s="19" t="s">
        <v>133</v>
      </c>
      <c r="C15" s="20"/>
      <c r="D15" s="20"/>
      <c r="E15" s="20"/>
      <c r="F15" s="20"/>
    </row>
    <row r="16" customFormat="false" ht="15" hidden="false" customHeight="false" outlineLevel="0" collapsed="false">
      <c r="B16" s="57"/>
      <c r="C16" s="39" t="s">
        <v>134</v>
      </c>
      <c r="D16" s="39" t="s">
        <v>135</v>
      </c>
      <c r="E16" s="39" t="s">
        <v>136</v>
      </c>
      <c r="F16" s="57"/>
    </row>
    <row r="17" customFormat="false" ht="15" hidden="false" customHeight="false" outlineLevel="0" collapsed="false">
      <c r="B17" s="7" t="s">
        <v>137</v>
      </c>
      <c r="C17" s="29" t="n">
        <f aca="false">Inputs!D15</f>
        <v>37000</v>
      </c>
      <c r="D17" s="29" t="n">
        <f aca="false">Inputs!D30</f>
        <v>13875</v>
      </c>
      <c r="E17" s="29" t="n">
        <f aca="false">C17-D17</f>
        <v>23125</v>
      </c>
      <c r="F17" s="23" t="s">
        <v>138</v>
      </c>
    </row>
    <row r="18" customFormat="false" ht="15" hidden="false" customHeight="false" outlineLevel="0" collapsed="false">
      <c r="B18" s="7" t="s">
        <v>139</v>
      </c>
      <c r="C18" s="29" t="n">
        <f aca="false">Inputs!D16</f>
        <v>0</v>
      </c>
      <c r="D18" s="29" t="n">
        <v>0</v>
      </c>
      <c r="E18" s="29" t="n">
        <v>0</v>
      </c>
      <c r="F18" s="23" t="s">
        <v>140</v>
      </c>
    </row>
    <row r="19" customFormat="false" ht="15" hidden="false" customHeight="false" outlineLevel="0" collapsed="false">
      <c r="B19" s="7" t="s">
        <v>141</v>
      </c>
      <c r="C19" s="29" t="n">
        <f aca="false">Inputs!C18</f>
        <v>0</v>
      </c>
      <c r="D19" s="29" t="n">
        <v>0</v>
      </c>
      <c r="E19" s="29" t="n">
        <f aca="false">C19</f>
        <v>0</v>
      </c>
      <c r="F19" s="23" t="s">
        <v>142</v>
      </c>
    </row>
    <row r="20" customFormat="false" ht="15" hidden="false" customHeight="false" outlineLevel="0" collapsed="false">
      <c r="B20" s="7" t="s">
        <v>143</v>
      </c>
      <c r="C20" s="29" t="n">
        <f aca="false">Inputs!D17</f>
        <v>37000</v>
      </c>
      <c r="D20" s="29" t="n">
        <f aca="false">Inputs!D34</f>
        <v>0</v>
      </c>
      <c r="E20" s="29" t="n">
        <f aca="false">C20-D20</f>
        <v>37000</v>
      </c>
      <c r="F20" s="23" t="s">
        <v>144</v>
      </c>
    </row>
    <row r="21" customFormat="false" ht="15" hidden="false" customHeight="false" outlineLevel="0" collapsed="false">
      <c r="B21" s="58" t="s">
        <v>145</v>
      </c>
      <c r="C21" s="59" t="n">
        <f aca="false">SUM(C17:C20)</f>
        <v>74000</v>
      </c>
      <c r="D21" s="59" t="n">
        <f aca="false">SUM(D17:D20)</f>
        <v>13875</v>
      </c>
      <c r="E21" s="59" t="n">
        <f aca="false">SUM(E17:E20)</f>
        <v>60125</v>
      </c>
      <c r="F21" s="60" t="s">
        <v>146</v>
      </c>
    </row>
    <row r="23" customFormat="false" ht="15" hidden="false" customHeight="false" outlineLevel="0" collapsed="false">
      <c r="B23" s="19" t="s">
        <v>147</v>
      </c>
      <c r="C23" s="20"/>
      <c r="D23" s="20"/>
      <c r="E23" s="20"/>
      <c r="F23" s="20"/>
    </row>
    <row r="24" customFormat="false" ht="15" hidden="false" customHeight="false" outlineLevel="0" collapsed="false">
      <c r="B24" s="7" t="s">
        <v>148</v>
      </c>
      <c r="C24" s="30" t="n">
        <f aca="false">Inputs!C21</f>
        <v>0.0825</v>
      </c>
      <c r="D24" s="22"/>
      <c r="E24" s="22"/>
      <c r="F24" s="22"/>
    </row>
    <row r="25" customFormat="false" ht="15" hidden="false" customHeight="false" outlineLevel="0" collapsed="false">
      <c r="B25" s="7" t="s">
        <v>149</v>
      </c>
      <c r="C25" s="30" t="n">
        <f aca="false">Inputs!C33</f>
        <v>0.0625</v>
      </c>
      <c r="D25" s="22"/>
      <c r="E25" s="22"/>
      <c r="F25" s="22"/>
    </row>
    <row r="26" customFormat="false" ht="15" hidden="false" customHeight="false" outlineLevel="0" collapsed="false">
      <c r="B26" s="7" t="s">
        <v>150</v>
      </c>
      <c r="C26" s="30" t="n">
        <f aca="false">C24-C25</f>
        <v>0.02</v>
      </c>
      <c r="D26" s="22"/>
      <c r="E26" s="22"/>
      <c r="F26" s="23" t="s">
        <v>151</v>
      </c>
    </row>
    <row r="27" customFormat="false" ht="15" hidden="false" customHeight="false" outlineLevel="0" collapsed="false">
      <c r="B27" s="7" t="s">
        <v>152</v>
      </c>
      <c r="C27" s="30" t="n">
        <f aca="false">IFERROR(Inputs!C35/Inputs!C14,0)</f>
        <v>0.75</v>
      </c>
      <c r="D27" s="22"/>
      <c r="E27" s="22"/>
      <c r="F27" s="22"/>
    </row>
    <row r="28" customFormat="false" ht="15" hidden="false" customHeight="false" outlineLevel="0" collapsed="false">
      <c r="B28" s="7" t="s">
        <v>153</v>
      </c>
      <c r="C28" s="30" t="n">
        <f aca="false">IFERROR((Inputs!C14*Inputs!C21-Inputs!C35*Inputs!C33)/Inputs!C36,"n/a")</f>
        <v>0.1425</v>
      </c>
      <c r="D28" s="22"/>
      <c r="E28" s="22"/>
      <c r="F28" s="23" t="s">
        <v>154</v>
      </c>
    </row>
    <row r="30" customFormat="false" ht="15" hidden="false" customHeight="false" outlineLevel="0" collapsed="false">
      <c r="B30" s="19" t="s">
        <v>155</v>
      </c>
      <c r="C30" s="20"/>
      <c r="D30" s="20"/>
      <c r="E30" s="20"/>
      <c r="F30" s="20"/>
    </row>
    <row r="31" customFormat="false" ht="15" hidden="false" customHeight="false" outlineLevel="0" collapsed="false">
      <c r="B31" s="57"/>
      <c r="C31" s="39" t="s">
        <v>134</v>
      </c>
      <c r="D31" s="39" t="s">
        <v>135</v>
      </c>
      <c r="E31" s="57"/>
      <c r="F31" s="57"/>
    </row>
    <row r="32" customFormat="false" ht="15" hidden="false" customHeight="false" outlineLevel="0" collapsed="false">
      <c r="B32" s="7" t="s">
        <v>156</v>
      </c>
      <c r="C32" s="29" t="n">
        <f aca="false">Inputs!C14*(1+Inputs!C17)</f>
        <v>3737000</v>
      </c>
      <c r="D32" s="29" t="n">
        <f aca="false">Inputs!C35*(1+Inputs!C34)</f>
        <v>2775000</v>
      </c>
      <c r="E32" s="22"/>
      <c r="F32" s="23" t="s">
        <v>157</v>
      </c>
    </row>
    <row r="33" customFormat="false" ht="15" hidden="false" customHeight="false" outlineLevel="0" collapsed="false">
      <c r="B33" s="7" t="s">
        <v>158</v>
      </c>
      <c r="C33" s="30" t="n">
        <f aca="false">IFERROR(Inputs!C14/Inputs!C39,"n/a")</f>
        <v>0.59919028340081</v>
      </c>
      <c r="D33" s="30" t="n">
        <f aca="false">IFERROR(Inputs!C35/Inputs!C39,"n/a")</f>
        <v>0.449392712550607</v>
      </c>
      <c r="E33" s="22"/>
      <c r="F33" s="22"/>
    </row>
    <row r="34" customFormat="false" ht="15" hidden="false" customHeight="false" outlineLevel="0" collapsed="false">
      <c r="B34" s="7" t="s">
        <v>159</v>
      </c>
      <c r="C34" s="30" t="n">
        <f aca="false">IFERROR(C32/Inputs!C39,"n/a")</f>
        <v>0.605182186234818</v>
      </c>
      <c r="D34" s="30" t="n">
        <f aca="false">IFERROR(D32/Inputs!C39,"n/a")</f>
        <v>0.449392712550607</v>
      </c>
      <c r="E34" s="22"/>
      <c r="F34" s="22"/>
    </row>
    <row r="35" customFormat="false" ht="15" hidden="false" customHeight="false" outlineLevel="0" collapsed="false">
      <c r="B35" s="7" t="s">
        <v>160</v>
      </c>
      <c r="C35" s="30" t="n">
        <f aca="false">IFERROR(C32/Inputs!C40,"n/a")</f>
        <v>0.858094144661309</v>
      </c>
      <c r="D35" s="30" t="n">
        <f aca="false">IFERROR(D32/Inputs!C40,"n/a")</f>
        <v>0.637198622273249</v>
      </c>
      <c r="E35" s="22"/>
      <c r="F35" s="23" t="s">
        <v>161</v>
      </c>
    </row>
    <row r="36" customFormat="false" ht="15" hidden="false" customHeight="false" outlineLevel="0" collapsed="false">
      <c r="B36" s="7" t="s">
        <v>162</v>
      </c>
      <c r="C36" s="30" t="n">
        <f aca="false">IFERROR(Inputs!C14/Inputs!C41,"n/a")</f>
        <v>0.880952380952381</v>
      </c>
      <c r="D36" s="30" t="n">
        <f aca="false">IFERROR(Inputs!C35/Inputs!C41,"n/a")</f>
        <v>0.660714285714286</v>
      </c>
      <c r="E36" s="22"/>
      <c r="F36" s="22"/>
    </row>
    <row r="37" customFormat="false" ht="15" hidden="false" customHeight="false" outlineLevel="0" collapsed="false">
      <c r="B37" s="7" t="s">
        <v>163</v>
      </c>
      <c r="C37" s="29" t="str">
        <f aca="false">IF(Inputs!C42&gt;0,C32/Inputs!C42,"n/a")</f>
        <v>n/a</v>
      </c>
      <c r="D37" s="29" t="str">
        <f aca="false">IF(Inputs!C42&gt;0,D32/Inputs!C42,"n/a")</f>
        <v>n/a</v>
      </c>
      <c r="E37" s="22"/>
      <c r="F37" s="23" t="s">
        <v>164</v>
      </c>
    </row>
    <row r="38" customFormat="false" ht="15" hidden="false" customHeight="false" outlineLevel="0" collapsed="false">
      <c r="B38" s="7" t="s">
        <v>165</v>
      </c>
      <c r="C38" s="29" t="n">
        <f aca="false">IF(Inputs!C43&gt;0,C32/Inputs!C43,"n/a")</f>
        <v>233562.5</v>
      </c>
      <c r="D38" s="29" t="n">
        <f aca="false">IF(Inputs!C43&gt;0,D32/Inputs!C43,"n/a")</f>
        <v>173437.5</v>
      </c>
      <c r="E38" s="22"/>
      <c r="F38" s="23" t="s">
        <v>166</v>
      </c>
    </row>
    <row r="39" customFormat="false" ht="15" hidden="false" customHeight="false" outlineLevel="0" collapsed="false">
      <c r="B39" s="7" t="s">
        <v>167</v>
      </c>
      <c r="C39" s="29" t="str">
        <f aca="false">IF(Inputs!C44&gt;0,C32/Inputs!C44,"n/a")</f>
        <v>n/a</v>
      </c>
      <c r="D39" s="29" t="str">
        <f aca="false">IF(Inputs!C44&gt;0,D32/Inputs!C44,"n/a")</f>
        <v>n/a</v>
      </c>
      <c r="E39" s="22"/>
      <c r="F39" s="23" t="s">
        <v>168</v>
      </c>
    </row>
    <row r="40" customFormat="false" ht="15" hidden="false" customHeight="false" outlineLevel="0" collapsed="false">
      <c r="B40" s="7" t="s">
        <v>169</v>
      </c>
      <c r="C40" s="30" t="n">
        <f aca="false">IF(Inputs!C45&gt;0,Inputs!C45/Inputs!C14,"n/a")</f>
        <v>0.124716756756757</v>
      </c>
      <c r="D40" s="30" t="n">
        <f aca="false">IF(AND(Inputs!C45&gt;0,Inputs!C35&gt;0),Inputs!C45/Inputs!C35,"n/a")</f>
        <v>0.166289009009009</v>
      </c>
      <c r="E40" s="22"/>
      <c r="F40" s="23" t="s">
        <v>170</v>
      </c>
    </row>
    <row r="41" customFormat="false" ht="15" hidden="false" customHeight="false" outlineLevel="0" collapsed="false">
      <c r="B41" s="7" t="s">
        <v>171</v>
      </c>
      <c r="C41" s="30" t="n">
        <f aca="false">IFERROR(1-C32/Inputs!C39,"n/a")</f>
        <v>0.394817813765182</v>
      </c>
      <c r="D41" s="30" t="n">
        <f aca="false">IFERROR(1-D32/Inputs!C40,"n/a")</f>
        <v>0.362801377726751</v>
      </c>
      <c r="E41" s="22"/>
      <c r="F41" s="23" t="s">
        <v>172</v>
      </c>
    </row>
    <row r="44" customFormat="false" ht="15" hidden="false" customHeight="false" outlineLevel="0" collapsed="false">
      <c r="B44" s="15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3864"/>
    <pageSetUpPr fitToPage="true"/>
  </sheetPr>
  <dimension ref="B2:H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3" topLeftCell="B24" activePane="bottomRight" state="frozen"/>
      <selection pane="topLeft" activeCell="A1" activeCellId="0" sqref="A1"/>
      <selection pane="topRight" activeCell="B1" activeCellId="0" sqref="B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6" min="4" style="0" width="15"/>
    <col collapsed="false" customWidth="true" hidden="false" outlineLevel="0" max="8" min="7" style="0" width="17"/>
  </cols>
  <sheetData>
    <row r="2" customFormat="false" ht="19.7" hidden="false" customHeight="false" outlineLevel="0" collapsed="false">
      <c r="B2" s="61" t="s">
        <v>23</v>
      </c>
      <c r="G2" s="62" t="s">
        <v>174</v>
      </c>
      <c r="H2" s="32"/>
    </row>
    <row r="3" customFormat="false" ht="15" hidden="false" customHeight="false" outlineLevel="0" collapsed="false">
      <c r="B3" s="63" t="s">
        <v>175</v>
      </c>
    </row>
    <row r="5" customFormat="false" ht="15" hidden="false" customHeight="false" outlineLevel="0" collapsed="false">
      <c r="B5" s="14" t="s">
        <v>176</v>
      </c>
      <c r="C5" s="13" t="str">
        <f aca="false">TEXT(Inputs!C10,"dd/mm/yyyy")&amp;" to "&amp;TEXT(EDATE(Inputs!C10,Inputs!C11),"dd/mm/yyyy")</f>
        <v>01/08/2026 to 01/08/2028</v>
      </c>
      <c r="H5" s="64" t="s">
        <v>177</v>
      </c>
    </row>
    <row r="6" customFormat="false" ht="15" hidden="false" customHeight="false" outlineLevel="0" collapsed="false">
      <c r="B6" s="14" t="s">
        <v>178</v>
      </c>
      <c r="C6" s="13" t="str">
        <f aca="false">Inputs!C6&amp;" – "&amp;Inputs!C7</f>
        <v>Housing First Group – TBC</v>
      </c>
    </row>
    <row r="8" customFormat="false" ht="15" hidden="false" customHeight="false" outlineLevel="0" collapsed="false">
      <c r="B8" s="65" t="s">
        <v>179</v>
      </c>
      <c r="C8" s="20"/>
      <c r="D8" s="65" t="s">
        <v>180</v>
      </c>
      <c r="E8" s="20"/>
      <c r="F8" s="65" t="s">
        <v>181</v>
      </c>
      <c r="G8" s="20"/>
      <c r="H8" s="20"/>
    </row>
    <row r="9" customFormat="false" ht="15" hidden="false" customHeight="false" outlineLevel="0" collapsed="false">
      <c r="B9" s="66" t="s">
        <v>182</v>
      </c>
      <c r="C9" s="67" t="n">
        <v>46265</v>
      </c>
      <c r="D9" s="66" t="s">
        <v>183</v>
      </c>
      <c r="E9" s="68" t="n">
        <f aca="false">Inputs!C10</f>
        <v>46235</v>
      </c>
      <c r="F9" s="66" t="s">
        <v>184</v>
      </c>
      <c r="G9" s="69" t="s">
        <v>185</v>
      </c>
      <c r="H9" s="7"/>
    </row>
    <row r="10" customFormat="false" ht="15" hidden="false" customHeight="false" outlineLevel="0" collapsed="false">
      <c r="B10" s="66" t="s">
        <v>186</v>
      </c>
      <c r="C10" s="70" t="n">
        <v>1</v>
      </c>
      <c r="D10" s="66" t="s">
        <v>187</v>
      </c>
      <c r="E10" s="68" t="n">
        <f aca="false">EDATE(Inputs!C10,Inputs!C11)</f>
        <v>46966</v>
      </c>
      <c r="F10" s="66" t="s">
        <v>188</v>
      </c>
      <c r="G10" s="69" t="s">
        <v>31</v>
      </c>
      <c r="H10" s="7"/>
    </row>
    <row r="11" customFormat="false" ht="15" hidden="false" customHeight="false" outlineLevel="0" collapsed="false">
      <c r="B11" s="66" t="s">
        <v>189</v>
      </c>
      <c r="C11" s="71" t="str">
        <f aca="false">IF(C9&gt;=EDATE(Inputs!C10,Inputs!C11),"Final","Interim")</f>
        <v>Interim</v>
      </c>
      <c r="D11" s="66" t="s">
        <v>9</v>
      </c>
      <c r="E11" s="71" t="str">
        <f aca="false">Inputs!C11&amp;" months"</f>
        <v>24 months</v>
      </c>
      <c r="F11" s="66" t="s">
        <v>190</v>
      </c>
      <c r="G11" s="71" t="str">
        <f aca="false">Inputs!C7</f>
        <v>TBC</v>
      </c>
      <c r="H11" s="7"/>
    </row>
    <row r="12" customFormat="false" ht="15" hidden="false" customHeight="false" outlineLevel="0" collapsed="false">
      <c r="D12" s="66" t="s">
        <v>43</v>
      </c>
      <c r="E12" s="72" t="n">
        <f aca="false">Inputs!C14</f>
        <v>3700000</v>
      </c>
      <c r="F12" s="66" t="s">
        <v>191</v>
      </c>
      <c r="G12" s="69" t="s">
        <v>31</v>
      </c>
      <c r="H12" s="7"/>
    </row>
    <row r="13" customFormat="false" ht="15" hidden="false" customHeight="false" outlineLevel="0" collapsed="false">
      <c r="D13" s="66" t="s">
        <v>192</v>
      </c>
      <c r="E13" s="73" t="n">
        <f aca="false">Inputs!C21</f>
        <v>0.0825</v>
      </c>
    </row>
    <row r="14" customFormat="false" ht="15" hidden="false" customHeight="false" outlineLevel="0" collapsed="false">
      <c r="D14" s="66" t="s">
        <v>193</v>
      </c>
      <c r="E14" s="72" t="n">
        <f aca="false">Inputs!D15</f>
        <v>37000</v>
      </c>
    </row>
    <row r="15" customFormat="false" ht="15" hidden="false" customHeight="false" outlineLevel="0" collapsed="false">
      <c r="D15" s="66" t="s">
        <v>194</v>
      </c>
      <c r="E15" s="72" t="n">
        <f aca="false">Inputs!D17</f>
        <v>37000</v>
      </c>
    </row>
    <row r="17" customFormat="false" ht="15" hidden="false" customHeight="false" outlineLevel="0" collapsed="false">
      <c r="B17" s="65" t="s">
        <v>195</v>
      </c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B18" s="66" t="s">
        <v>196</v>
      </c>
      <c r="C18" s="72" t="n">
        <f aca="false">Inputs!C14</f>
        <v>3700000</v>
      </c>
      <c r="D18" s="66" t="s">
        <v>197</v>
      </c>
      <c r="E18" s="72" t="n">
        <f aca="false">Inputs!D15+Inputs!D16+Inputs!C18+IF($C$9&gt;=$E$10,Inputs!D17,0)</f>
        <v>37000</v>
      </c>
      <c r="F18" s="66" t="s">
        <v>198</v>
      </c>
      <c r="G18" s="74" t="n">
        <f aca="false">COUNTIF($H$24:$H$60,"Complete")</f>
        <v>1</v>
      </c>
      <c r="H18" s="7"/>
    </row>
    <row r="19" customFormat="false" ht="15" hidden="false" customHeight="false" outlineLevel="0" collapsed="false">
      <c r="B19" s="66" t="s">
        <v>199</v>
      </c>
      <c r="C19" s="72" t="n">
        <f aca="false">Inputs!C24</f>
        <v>3663000</v>
      </c>
      <c r="D19" s="66" t="s">
        <v>200</v>
      </c>
      <c r="E19" s="72" t="n">
        <f aca="false">SUMIFS(Cashflow!$G$16:$G$52,Cashflow!$B$16:$B$52,"&lt;="&amp;$C$9)</f>
        <v>37000</v>
      </c>
      <c r="F19" s="66" t="s">
        <v>201</v>
      </c>
      <c r="G19" s="74" t="n">
        <f aca="false">COUNTIF($H$24:$H$60,"Forecast")</f>
        <v>24</v>
      </c>
      <c r="H19" s="7"/>
    </row>
    <row r="20" customFormat="false" ht="15" hidden="false" customHeight="false" outlineLevel="0" collapsed="false">
      <c r="B20" s="66" t="s">
        <v>202</v>
      </c>
      <c r="C20" s="72" t="n">
        <f aca="false">SUMIFS(Cashflow!$F$16:$F$52,Cashflow!$B$16:$B$52,"&lt;="&amp;$C$9)</f>
        <v>0</v>
      </c>
      <c r="D20" s="66" t="s">
        <v>203</v>
      </c>
      <c r="E20" s="72" t="n">
        <f aca="false">IF($C$9&gt;=$E$10,0,Inputs!C14)</f>
        <v>3700000</v>
      </c>
    </row>
    <row r="23" customFormat="false" ht="15" hidden="false" customHeight="false" outlineLevel="0" collapsed="false">
      <c r="B23" s="75" t="s">
        <v>107</v>
      </c>
      <c r="C23" s="76" t="s">
        <v>108</v>
      </c>
      <c r="D23" s="26" t="s">
        <v>110</v>
      </c>
      <c r="E23" s="26" t="s">
        <v>204</v>
      </c>
      <c r="F23" s="26" t="s">
        <v>112</v>
      </c>
      <c r="G23" s="26" t="s">
        <v>205</v>
      </c>
      <c r="H23" s="75" t="s">
        <v>206</v>
      </c>
    </row>
    <row r="24" customFormat="false" ht="15" hidden="false" customHeight="false" outlineLevel="0" collapsed="false">
      <c r="B24" s="77" t="n">
        <f aca="false">IF(Cashflow!$C16="","",Cashflow!$B16)</f>
        <v>46235</v>
      </c>
      <c r="C24" s="78" t="str">
        <f aca="false">IF(Cashflow!$C16="","",Cashflow!$C16)</f>
        <v>Drawdown (fees deducted at source)</v>
      </c>
      <c r="D24" s="79" t="n">
        <f aca="false">IF(Cashflow!$C16="","",Cashflow!$E16)</f>
        <v>3700000</v>
      </c>
      <c r="E24" s="79" t="n">
        <f aca="false">IF(Cashflow!$C16="","",Cashflow!$F16)</f>
        <v>0</v>
      </c>
      <c r="F24" s="79" t="n">
        <f aca="false">IF(Cashflow!$C16="","",Cashflow!$G16)</f>
        <v>37000</v>
      </c>
      <c r="G24" s="79" t="n">
        <f aca="false">IF(Cashflow!$C16="","",Cashflow!$H16)</f>
        <v>3700000</v>
      </c>
      <c r="H24" s="80" t="str">
        <f aca="false">IF($B24="","",IF($B24&lt;=$C$9,"Complete","Forecast"))</f>
        <v>Complete</v>
      </c>
    </row>
    <row r="25" customFormat="false" ht="15" hidden="false" customHeight="false" outlineLevel="0" collapsed="false">
      <c r="B25" s="77" t="n">
        <f aca="false">IF(Cashflow!$C17="","",Cashflow!$B17)</f>
        <v>46266</v>
      </c>
      <c r="C25" s="78" t="str">
        <f aca="false">IF(Cashflow!$C17="","",Cashflow!$C17)</f>
        <v>Interest</v>
      </c>
      <c r="D25" s="79" t="n">
        <f aca="false">IF(Cashflow!$C17="","",Cashflow!$E17)</f>
        <v>0</v>
      </c>
      <c r="E25" s="79" t="n">
        <f aca="false">IF(Cashflow!$C17="","",Cashflow!$F17)</f>
        <v>25925.3424657534</v>
      </c>
      <c r="F25" s="79" t="n">
        <f aca="false">IF(Cashflow!$C17="","",Cashflow!$G17)</f>
        <v>25925.3424657534</v>
      </c>
      <c r="G25" s="79" t="n">
        <f aca="false">IF(Cashflow!$C17="","",Cashflow!$H17)</f>
        <v>3700000</v>
      </c>
      <c r="H25" s="80" t="str">
        <f aca="false">IF($B25="","",IF($B25&lt;=$C$9,"Complete","Forecast"))</f>
        <v>Forecast</v>
      </c>
    </row>
    <row r="26" customFormat="false" ht="15" hidden="false" customHeight="false" outlineLevel="0" collapsed="false">
      <c r="B26" s="77" t="n">
        <f aca="false">IF(Cashflow!$C18="","",Cashflow!$B18)</f>
        <v>46296</v>
      </c>
      <c r="C26" s="78" t="str">
        <f aca="false">IF(Cashflow!$C18="","",Cashflow!$C18)</f>
        <v>Interest</v>
      </c>
      <c r="D26" s="79" t="n">
        <f aca="false">IF(Cashflow!$C18="","",Cashflow!$E18)</f>
        <v>0</v>
      </c>
      <c r="E26" s="79" t="n">
        <f aca="false">IF(Cashflow!$C18="","",Cashflow!$F18)</f>
        <v>25089.0410958904</v>
      </c>
      <c r="F26" s="79" t="n">
        <f aca="false">IF(Cashflow!$C18="","",Cashflow!$G18)</f>
        <v>25089.0410958904</v>
      </c>
      <c r="G26" s="79" t="n">
        <f aca="false">IF(Cashflow!$C18="","",Cashflow!$H18)</f>
        <v>3700000</v>
      </c>
      <c r="H26" s="80" t="str">
        <f aca="false">IF($B26="","",IF($B26&lt;=$C$9,"Complete","Forecast"))</f>
        <v>Forecast</v>
      </c>
    </row>
    <row r="27" customFormat="false" ht="15" hidden="false" customHeight="false" outlineLevel="0" collapsed="false">
      <c r="B27" s="77" t="n">
        <f aca="false">IF(Cashflow!$C19="","",Cashflow!$B19)</f>
        <v>46327</v>
      </c>
      <c r="C27" s="78" t="str">
        <f aca="false">IF(Cashflow!$C19="","",Cashflow!$C19)</f>
        <v>Interest</v>
      </c>
      <c r="D27" s="79" t="n">
        <f aca="false">IF(Cashflow!$C19="","",Cashflow!$E19)</f>
        <v>0</v>
      </c>
      <c r="E27" s="79" t="n">
        <f aca="false">IF(Cashflow!$C19="","",Cashflow!$F19)</f>
        <v>25925.3424657534</v>
      </c>
      <c r="F27" s="79" t="n">
        <f aca="false">IF(Cashflow!$C19="","",Cashflow!$G19)</f>
        <v>25925.3424657534</v>
      </c>
      <c r="G27" s="79" t="n">
        <f aca="false">IF(Cashflow!$C19="","",Cashflow!$H19)</f>
        <v>3700000</v>
      </c>
      <c r="H27" s="80" t="str">
        <f aca="false">IF($B27="","",IF($B27&lt;=$C$9,"Complete","Forecast"))</f>
        <v>Forecast</v>
      </c>
    </row>
    <row r="28" customFormat="false" ht="15" hidden="false" customHeight="false" outlineLevel="0" collapsed="false">
      <c r="B28" s="77" t="n">
        <f aca="false">IF(Cashflow!$C20="","",Cashflow!$B20)</f>
        <v>46357</v>
      </c>
      <c r="C28" s="78" t="str">
        <f aca="false">IF(Cashflow!$C20="","",Cashflow!$C20)</f>
        <v>Interest</v>
      </c>
      <c r="D28" s="79" t="n">
        <f aca="false">IF(Cashflow!$C20="","",Cashflow!$E20)</f>
        <v>0</v>
      </c>
      <c r="E28" s="79" t="n">
        <f aca="false">IF(Cashflow!$C20="","",Cashflow!$F20)</f>
        <v>25089.0410958904</v>
      </c>
      <c r="F28" s="79" t="n">
        <f aca="false">IF(Cashflow!$C20="","",Cashflow!$G20)</f>
        <v>25089.0410958904</v>
      </c>
      <c r="G28" s="79" t="n">
        <f aca="false">IF(Cashflow!$C20="","",Cashflow!$H20)</f>
        <v>3700000</v>
      </c>
      <c r="H28" s="80" t="str">
        <f aca="false">IF($B28="","",IF($B28&lt;=$C$9,"Complete","Forecast"))</f>
        <v>Forecast</v>
      </c>
    </row>
    <row r="29" customFormat="false" ht="15" hidden="false" customHeight="false" outlineLevel="0" collapsed="false">
      <c r="B29" s="77" t="n">
        <f aca="false">IF(Cashflow!$C21="","",Cashflow!$B21)</f>
        <v>46388</v>
      </c>
      <c r="C29" s="78" t="str">
        <f aca="false">IF(Cashflow!$C21="","",Cashflow!$C21)</f>
        <v>Interest</v>
      </c>
      <c r="D29" s="79" t="n">
        <f aca="false">IF(Cashflow!$C21="","",Cashflow!$E21)</f>
        <v>0</v>
      </c>
      <c r="E29" s="79" t="n">
        <f aca="false">IF(Cashflow!$C21="","",Cashflow!$F21)</f>
        <v>25925.3424657534</v>
      </c>
      <c r="F29" s="79" t="n">
        <f aca="false">IF(Cashflow!$C21="","",Cashflow!$G21)</f>
        <v>25925.3424657534</v>
      </c>
      <c r="G29" s="79" t="n">
        <f aca="false">IF(Cashflow!$C21="","",Cashflow!$H21)</f>
        <v>3700000</v>
      </c>
      <c r="H29" s="80" t="str">
        <f aca="false">IF($B29="","",IF($B29&lt;=$C$9,"Complete","Forecast"))</f>
        <v>Forecast</v>
      </c>
    </row>
    <row r="30" customFormat="false" ht="15" hidden="false" customHeight="false" outlineLevel="0" collapsed="false">
      <c r="B30" s="77" t="n">
        <f aca="false">IF(Cashflow!$C22="","",Cashflow!$B22)</f>
        <v>46419</v>
      </c>
      <c r="C30" s="78" t="str">
        <f aca="false">IF(Cashflow!$C22="","",Cashflow!$C22)</f>
        <v>Interest</v>
      </c>
      <c r="D30" s="79" t="n">
        <f aca="false">IF(Cashflow!$C22="","",Cashflow!$E22)</f>
        <v>0</v>
      </c>
      <c r="E30" s="79" t="n">
        <f aca="false">IF(Cashflow!$C22="","",Cashflow!$F22)</f>
        <v>25925.3424657534</v>
      </c>
      <c r="F30" s="79" t="n">
        <f aca="false">IF(Cashflow!$C22="","",Cashflow!$G22)</f>
        <v>25925.3424657534</v>
      </c>
      <c r="G30" s="79" t="n">
        <f aca="false">IF(Cashflow!$C22="","",Cashflow!$H22)</f>
        <v>3700000</v>
      </c>
      <c r="H30" s="80" t="str">
        <f aca="false">IF($B30="","",IF($B30&lt;=$C$9,"Complete","Forecast"))</f>
        <v>Forecast</v>
      </c>
    </row>
    <row r="31" customFormat="false" ht="15" hidden="false" customHeight="false" outlineLevel="0" collapsed="false">
      <c r="B31" s="77" t="n">
        <f aca="false">IF(Cashflow!$C23="","",Cashflow!$B23)</f>
        <v>46447</v>
      </c>
      <c r="C31" s="78" t="str">
        <f aca="false">IF(Cashflow!$C23="","",Cashflow!$C23)</f>
        <v>Interest</v>
      </c>
      <c r="D31" s="79" t="n">
        <f aca="false">IF(Cashflow!$C23="","",Cashflow!$E23)</f>
        <v>0</v>
      </c>
      <c r="E31" s="79" t="n">
        <f aca="false">IF(Cashflow!$C23="","",Cashflow!$F23)</f>
        <v>23416.4383561644</v>
      </c>
      <c r="F31" s="79" t="n">
        <f aca="false">IF(Cashflow!$C23="","",Cashflow!$G23)</f>
        <v>23416.4383561644</v>
      </c>
      <c r="G31" s="79" t="n">
        <f aca="false">IF(Cashflow!$C23="","",Cashflow!$H23)</f>
        <v>3700000</v>
      </c>
      <c r="H31" s="80" t="str">
        <f aca="false">IF($B31="","",IF($B31&lt;=$C$9,"Complete","Forecast"))</f>
        <v>Forecast</v>
      </c>
    </row>
    <row r="32" customFormat="false" ht="15" hidden="false" customHeight="false" outlineLevel="0" collapsed="false">
      <c r="B32" s="77" t="n">
        <f aca="false">IF(Cashflow!$C24="","",Cashflow!$B24)</f>
        <v>46478</v>
      </c>
      <c r="C32" s="78" t="str">
        <f aca="false">IF(Cashflow!$C24="","",Cashflow!$C24)</f>
        <v>Interest</v>
      </c>
      <c r="D32" s="79" t="n">
        <f aca="false">IF(Cashflow!$C24="","",Cashflow!$E24)</f>
        <v>0</v>
      </c>
      <c r="E32" s="79" t="n">
        <f aca="false">IF(Cashflow!$C24="","",Cashflow!$F24)</f>
        <v>25925.3424657534</v>
      </c>
      <c r="F32" s="79" t="n">
        <f aca="false">IF(Cashflow!$C24="","",Cashflow!$G24)</f>
        <v>25925.3424657534</v>
      </c>
      <c r="G32" s="79" t="n">
        <f aca="false">IF(Cashflow!$C24="","",Cashflow!$H24)</f>
        <v>3700000</v>
      </c>
      <c r="H32" s="80" t="str">
        <f aca="false">IF($B32="","",IF($B32&lt;=$C$9,"Complete","Forecast"))</f>
        <v>Forecast</v>
      </c>
    </row>
    <row r="33" customFormat="false" ht="15" hidden="false" customHeight="false" outlineLevel="0" collapsed="false">
      <c r="B33" s="77" t="n">
        <f aca="false">IF(Cashflow!$C25="","",Cashflow!$B25)</f>
        <v>46508</v>
      </c>
      <c r="C33" s="78" t="str">
        <f aca="false">IF(Cashflow!$C25="","",Cashflow!$C25)</f>
        <v>Interest</v>
      </c>
      <c r="D33" s="79" t="n">
        <f aca="false">IF(Cashflow!$C25="","",Cashflow!$E25)</f>
        <v>0</v>
      </c>
      <c r="E33" s="79" t="n">
        <f aca="false">IF(Cashflow!$C25="","",Cashflow!$F25)</f>
        <v>25089.0410958904</v>
      </c>
      <c r="F33" s="79" t="n">
        <f aca="false">IF(Cashflow!$C25="","",Cashflow!$G25)</f>
        <v>25089.0410958904</v>
      </c>
      <c r="G33" s="79" t="n">
        <f aca="false">IF(Cashflow!$C25="","",Cashflow!$H25)</f>
        <v>3700000</v>
      </c>
      <c r="H33" s="80" t="str">
        <f aca="false">IF($B33="","",IF($B33&lt;=$C$9,"Complete","Forecast"))</f>
        <v>Forecast</v>
      </c>
    </row>
    <row r="34" customFormat="false" ht="15" hidden="false" customHeight="false" outlineLevel="0" collapsed="false">
      <c r="B34" s="77" t="n">
        <f aca="false">IF(Cashflow!$C26="","",Cashflow!$B26)</f>
        <v>46539</v>
      </c>
      <c r="C34" s="78" t="str">
        <f aca="false">IF(Cashflow!$C26="","",Cashflow!$C26)</f>
        <v>Interest</v>
      </c>
      <c r="D34" s="79" t="n">
        <f aca="false">IF(Cashflow!$C26="","",Cashflow!$E26)</f>
        <v>0</v>
      </c>
      <c r="E34" s="79" t="n">
        <f aca="false">IF(Cashflow!$C26="","",Cashflow!$F26)</f>
        <v>25925.3424657534</v>
      </c>
      <c r="F34" s="79" t="n">
        <f aca="false">IF(Cashflow!$C26="","",Cashflow!$G26)</f>
        <v>25925.3424657534</v>
      </c>
      <c r="G34" s="79" t="n">
        <f aca="false">IF(Cashflow!$C26="","",Cashflow!$H26)</f>
        <v>3700000</v>
      </c>
      <c r="H34" s="80" t="str">
        <f aca="false">IF($B34="","",IF($B34&lt;=$C$9,"Complete","Forecast"))</f>
        <v>Forecast</v>
      </c>
    </row>
    <row r="35" customFormat="false" ht="15" hidden="false" customHeight="false" outlineLevel="0" collapsed="false">
      <c r="B35" s="77" t="n">
        <f aca="false">IF(Cashflow!$C27="","",Cashflow!$B27)</f>
        <v>46569</v>
      </c>
      <c r="C35" s="78" t="str">
        <f aca="false">IF(Cashflow!$C27="","",Cashflow!$C27)</f>
        <v>Interest</v>
      </c>
      <c r="D35" s="79" t="n">
        <f aca="false">IF(Cashflow!$C27="","",Cashflow!$E27)</f>
        <v>0</v>
      </c>
      <c r="E35" s="79" t="n">
        <f aca="false">IF(Cashflow!$C27="","",Cashflow!$F27)</f>
        <v>25089.0410958904</v>
      </c>
      <c r="F35" s="79" t="n">
        <f aca="false">IF(Cashflow!$C27="","",Cashflow!$G27)</f>
        <v>25089.0410958904</v>
      </c>
      <c r="G35" s="79" t="n">
        <f aca="false">IF(Cashflow!$C27="","",Cashflow!$H27)</f>
        <v>3700000</v>
      </c>
      <c r="H35" s="80" t="str">
        <f aca="false">IF($B35="","",IF($B35&lt;=$C$9,"Complete","Forecast"))</f>
        <v>Forecast</v>
      </c>
    </row>
    <row r="36" customFormat="false" ht="15" hidden="false" customHeight="false" outlineLevel="0" collapsed="false">
      <c r="B36" s="77" t="n">
        <f aca="false">IF(Cashflow!$C28="","",Cashflow!$B28)</f>
        <v>46600</v>
      </c>
      <c r="C36" s="78" t="str">
        <f aca="false">IF(Cashflow!$C28="","",Cashflow!$C28)</f>
        <v>Interest</v>
      </c>
      <c r="D36" s="79" t="n">
        <f aca="false">IF(Cashflow!$C28="","",Cashflow!$E28)</f>
        <v>0</v>
      </c>
      <c r="E36" s="79" t="n">
        <f aca="false">IF(Cashflow!$C28="","",Cashflow!$F28)</f>
        <v>25925.3424657534</v>
      </c>
      <c r="F36" s="79" t="n">
        <f aca="false">IF(Cashflow!$C28="","",Cashflow!$G28)</f>
        <v>25925.3424657534</v>
      </c>
      <c r="G36" s="79" t="n">
        <f aca="false">IF(Cashflow!$C28="","",Cashflow!$H28)</f>
        <v>3700000</v>
      </c>
      <c r="H36" s="80" t="str">
        <f aca="false">IF($B36="","",IF($B36&lt;=$C$9,"Complete","Forecast"))</f>
        <v>Forecast</v>
      </c>
    </row>
    <row r="37" customFormat="false" ht="15" hidden="false" customHeight="false" outlineLevel="0" collapsed="false">
      <c r="B37" s="77" t="n">
        <f aca="false">IF(Cashflow!$C29="","",Cashflow!$B29)</f>
        <v>46631</v>
      </c>
      <c r="C37" s="78" t="str">
        <f aca="false">IF(Cashflow!$C29="","",Cashflow!$C29)</f>
        <v>Interest</v>
      </c>
      <c r="D37" s="79" t="n">
        <f aca="false">IF(Cashflow!$C29="","",Cashflow!$E29)</f>
        <v>0</v>
      </c>
      <c r="E37" s="79" t="n">
        <f aca="false">IF(Cashflow!$C29="","",Cashflow!$F29)</f>
        <v>25925.3424657534</v>
      </c>
      <c r="F37" s="79" t="n">
        <f aca="false">IF(Cashflow!$C29="","",Cashflow!$G29)</f>
        <v>25925.3424657534</v>
      </c>
      <c r="G37" s="79" t="n">
        <f aca="false">IF(Cashflow!$C29="","",Cashflow!$H29)</f>
        <v>3700000</v>
      </c>
      <c r="H37" s="80" t="str">
        <f aca="false">IF($B37="","",IF($B37&lt;=$C$9,"Complete","Forecast"))</f>
        <v>Forecast</v>
      </c>
    </row>
    <row r="38" customFormat="false" ht="15" hidden="false" customHeight="false" outlineLevel="0" collapsed="false">
      <c r="B38" s="77" t="n">
        <f aca="false">IF(Cashflow!$C30="","",Cashflow!$B30)</f>
        <v>46661</v>
      </c>
      <c r="C38" s="78" t="str">
        <f aca="false">IF(Cashflow!$C30="","",Cashflow!$C30)</f>
        <v>Interest</v>
      </c>
      <c r="D38" s="79" t="n">
        <f aca="false">IF(Cashflow!$C30="","",Cashflow!$E30)</f>
        <v>0</v>
      </c>
      <c r="E38" s="79" t="n">
        <f aca="false">IF(Cashflow!$C30="","",Cashflow!$F30)</f>
        <v>25089.0410958904</v>
      </c>
      <c r="F38" s="79" t="n">
        <f aca="false">IF(Cashflow!$C30="","",Cashflow!$G30)</f>
        <v>25089.0410958904</v>
      </c>
      <c r="G38" s="79" t="n">
        <f aca="false">IF(Cashflow!$C30="","",Cashflow!$H30)</f>
        <v>3700000</v>
      </c>
      <c r="H38" s="80" t="str">
        <f aca="false">IF($B38="","",IF($B38&lt;=$C$9,"Complete","Forecast"))</f>
        <v>Forecast</v>
      </c>
    </row>
    <row r="39" customFormat="false" ht="15" hidden="false" customHeight="false" outlineLevel="0" collapsed="false">
      <c r="B39" s="77" t="n">
        <f aca="false">IF(Cashflow!$C31="","",Cashflow!$B31)</f>
        <v>46692</v>
      </c>
      <c r="C39" s="78" t="str">
        <f aca="false">IF(Cashflow!$C31="","",Cashflow!$C31)</f>
        <v>Interest</v>
      </c>
      <c r="D39" s="79" t="n">
        <f aca="false">IF(Cashflow!$C31="","",Cashflow!$E31)</f>
        <v>0</v>
      </c>
      <c r="E39" s="79" t="n">
        <f aca="false">IF(Cashflow!$C31="","",Cashflow!$F31)</f>
        <v>25925.3424657534</v>
      </c>
      <c r="F39" s="79" t="n">
        <f aca="false">IF(Cashflow!$C31="","",Cashflow!$G31)</f>
        <v>25925.3424657534</v>
      </c>
      <c r="G39" s="79" t="n">
        <f aca="false">IF(Cashflow!$C31="","",Cashflow!$H31)</f>
        <v>3700000</v>
      </c>
      <c r="H39" s="80" t="str">
        <f aca="false">IF($B39="","",IF($B39&lt;=$C$9,"Complete","Forecast"))</f>
        <v>Forecast</v>
      </c>
    </row>
    <row r="40" customFormat="false" ht="15" hidden="false" customHeight="false" outlineLevel="0" collapsed="false">
      <c r="B40" s="77" t="n">
        <f aca="false">IF(Cashflow!$C32="","",Cashflow!$B32)</f>
        <v>46722</v>
      </c>
      <c r="C40" s="78" t="str">
        <f aca="false">IF(Cashflow!$C32="","",Cashflow!$C32)</f>
        <v>Interest</v>
      </c>
      <c r="D40" s="79" t="n">
        <f aca="false">IF(Cashflow!$C32="","",Cashflow!$E32)</f>
        <v>0</v>
      </c>
      <c r="E40" s="79" t="n">
        <f aca="false">IF(Cashflow!$C32="","",Cashflow!$F32)</f>
        <v>25089.0410958904</v>
      </c>
      <c r="F40" s="79" t="n">
        <f aca="false">IF(Cashflow!$C32="","",Cashflow!$G32)</f>
        <v>25089.0410958904</v>
      </c>
      <c r="G40" s="79" t="n">
        <f aca="false">IF(Cashflow!$C32="","",Cashflow!$H32)</f>
        <v>3700000</v>
      </c>
      <c r="H40" s="80" t="str">
        <f aca="false">IF($B40="","",IF($B40&lt;=$C$9,"Complete","Forecast"))</f>
        <v>Forecast</v>
      </c>
    </row>
    <row r="41" customFormat="false" ht="15" hidden="false" customHeight="false" outlineLevel="0" collapsed="false">
      <c r="B41" s="77" t="n">
        <f aca="false">IF(Cashflow!$C33="","",Cashflow!$B33)</f>
        <v>46753</v>
      </c>
      <c r="C41" s="78" t="str">
        <f aca="false">IF(Cashflow!$C33="","",Cashflow!$C33)</f>
        <v>Interest</v>
      </c>
      <c r="D41" s="79" t="n">
        <f aca="false">IF(Cashflow!$C33="","",Cashflow!$E33)</f>
        <v>0</v>
      </c>
      <c r="E41" s="79" t="n">
        <f aca="false">IF(Cashflow!$C33="","",Cashflow!$F33)</f>
        <v>25925.3424657534</v>
      </c>
      <c r="F41" s="79" t="n">
        <f aca="false">IF(Cashflow!$C33="","",Cashflow!$G33)</f>
        <v>25925.3424657534</v>
      </c>
      <c r="G41" s="79" t="n">
        <f aca="false">IF(Cashflow!$C33="","",Cashflow!$H33)</f>
        <v>3700000</v>
      </c>
      <c r="H41" s="80" t="str">
        <f aca="false">IF($B41="","",IF($B41&lt;=$C$9,"Complete","Forecast"))</f>
        <v>Forecast</v>
      </c>
    </row>
    <row r="42" customFormat="false" ht="15" hidden="false" customHeight="false" outlineLevel="0" collapsed="false">
      <c r="B42" s="77" t="n">
        <f aca="false">IF(Cashflow!$C34="","",Cashflow!$B34)</f>
        <v>46784</v>
      </c>
      <c r="C42" s="78" t="str">
        <f aca="false">IF(Cashflow!$C34="","",Cashflow!$C34)</f>
        <v>Interest</v>
      </c>
      <c r="D42" s="79" t="n">
        <f aca="false">IF(Cashflow!$C34="","",Cashflow!$E34)</f>
        <v>0</v>
      </c>
      <c r="E42" s="79" t="n">
        <f aca="false">IF(Cashflow!$C34="","",Cashflow!$F34)</f>
        <v>25925.3424657534</v>
      </c>
      <c r="F42" s="79" t="n">
        <f aca="false">IF(Cashflow!$C34="","",Cashflow!$G34)</f>
        <v>25925.3424657534</v>
      </c>
      <c r="G42" s="79" t="n">
        <f aca="false">IF(Cashflow!$C34="","",Cashflow!$H34)</f>
        <v>3700000</v>
      </c>
      <c r="H42" s="80" t="str">
        <f aca="false">IF($B42="","",IF($B42&lt;=$C$9,"Complete","Forecast"))</f>
        <v>Forecast</v>
      </c>
    </row>
    <row r="43" customFormat="false" ht="15" hidden="false" customHeight="false" outlineLevel="0" collapsed="false">
      <c r="B43" s="77" t="n">
        <f aca="false">IF(Cashflow!$C35="","",Cashflow!$B35)</f>
        <v>46813</v>
      </c>
      <c r="C43" s="78" t="str">
        <f aca="false">IF(Cashflow!$C35="","",Cashflow!$C35)</f>
        <v>Interest</v>
      </c>
      <c r="D43" s="79" t="n">
        <f aca="false">IF(Cashflow!$C35="","",Cashflow!$E35)</f>
        <v>0</v>
      </c>
      <c r="E43" s="79" t="n">
        <f aca="false">IF(Cashflow!$C35="","",Cashflow!$F35)</f>
        <v>24252.7397260274</v>
      </c>
      <c r="F43" s="79" t="n">
        <f aca="false">IF(Cashflow!$C35="","",Cashflow!$G35)</f>
        <v>24252.7397260274</v>
      </c>
      <c r="G43" s="79" t="n">
        <f aca="false">IF(Cashflow!$C35="","",Cashflow!$H35)</f>
        <v>3700000</v>
      </c>
      <c r="H43" s="80" t="str">
        <f aca="false">IF($B43="","",IF($B43&lt;=$C$9,"Complete","Forecast"))</f>
        <v>Forecast</v>
      </c>
    </row>
    <row r="44" customFormat="false" ht="15" hidden="false" customHeight="false" outlineLevel="0" collapsed="false">
      <c r="B44" s="77" t="n">
        <f aca="false">IF(Cashflow!$C36="","",Cashflow!$B36)</f>
        <v>46844</v>
      </c>
      <c r="C44" s="78" t="str">
        <f aca="false">IF(Cashflow!$C36="","",Cashflow!$C36)</f>
        <v>Interest</v>
      </c>
      <c r="D44" s="79" t="n">
        <f aca="false">IF(Cashflow!$C36="","",Cashflow!$E36)</f>
        <v>0</v>
      </c>
      <c r="E44" s="79" t="n">
        <f aca="false">IF(Cashflow!$C36="","",Cashflow!$F36)</f>
        <v>25925.3424657534</v>
      </c>
      <c r="F44" s="79" t="n">
        <f aca="false">IF(Cashflow!$C36="","",Cashflow!$G36)</f>
        <v>25925.3424657534</v>
      </c>
      <c r="G44" s="79" t="n">
        <f aca="false">IF(Cashflow!$C36="","",Cashflow!$H36)</f>
        <v>3700000</v>
      </c>
      <c r="H44" s="80" t="str">
        <f aca="false">IF($B44="","",IF($B44&lt;=$C$9,"Complete","Forecast"))</f>
        <v>Forecast</v>
      </c>
    </row>
    <row r="45" customFormat="false" ht="15" hidden="false" customHeight="false" outlineLevel="0" collapsed="false">
      <c r="B45" s="77" t="n">
        <f aca="false">IF(Cashflow!$C37="","",Cashflow!$B37)</f>
        <v>46874</v>
      </c>
      <c r="C45" s="78" t="str">
        <f aca="false">IF(Cashflow!$C37="","",Cashflow!$C37)</f>
        <v>Interest</v>
      </c>
      <c r="D45" s="79" t="n">
        <f aca="false">IF(Cashflow!$C37="","",Cashflow!$E37)</f>
        <v>0</v>
      </c>
      <c r="E45" s="79" t="n">
        <f aca="false">IF(Cashflow!$C37="","",Cashflow!$F37)</f>
        <v>25089.0410958904</v>
      </c>
      <c r="F45" s="79" t="n">
        <f aca="false">IF(Cashflow!$C37="","",Cashflow!$G37)</f>
        <v>25089.0410958904</v>
      </c>
      <c r="G45" s="79" t="n">
        <f aca="false">IF(Cashflow!$C37="","",Cashflow!$H37)</f>
        <v>3700000</v>
      </c>
      <c r="H45" s="80" t="str">
        <f aca="false">IF($B45="","",IF($B45&lt;=$C$9,"Complete","Forecast"))</f>
        <v>Forecast</v>
      </c>
    </row>
    <row r="46" customFormat="false" ht="15" hidden="false" customHeight="false" outlineLevel="0" collapsed="false">
      <c r="B46" s="77" t="n">
        <f aca="false">IF(Cashflow!$C38="","",Cashflow!$B38)</f>
        <v>46905</v>
      </c>
      <c r="C46" s="78" t="str">
        <f aca="false">IF(Cashflow!$C38="","",Cashflow!$C38)</f>
        <v>Interest</v>
      </c>
      <c r="D46" s="79" t="n">
        <f aca="false">IF(Cashflow!$C38="","",Cashflow!$E38)</f>
        <v>0</v>
      </c>
      <c r="E46" s="79" t="n">
        <f aca="false">IF(Cashflow!$C38="","",Cashflow!$F38)</f>
        <v>25925.3424657534</v>
      </c>
      <c r="F46" s="79" t="n">
        <f aca="false">IF(Cashflow!$C38="","",Cashflow!$G38)</f>
        <v>25925.3424657534</v>
      </c>
      <c r="G46" s="79" t="n">
        <f aca="false">IF(Cashflow!$C38="","",Cashflow!$H38)</f>
        <v>3700000</v>
      </c>
      <c r="H46" s="80" t="str">
        <f aca="false">IF($B46="","",IF($B46&lt;=$C$9,"Complete","Forecast"))</f>
        <v>Forecast</v>
      </c>
    </row>
    <row r="47" customFormat="false" ht="15" hidden="false" customHeight="false" outlineLevel="0" collapsed="false">
      <c r="B47" s="77" t="n">
        <f aca="false">IF(Cashflow!$C39="","",Cashflow!$B39)</f>
        <v>46935</v>
      </c>
      <c r="C47" s="78" t="str">
        <f aca="false">IF(Cashflow!$C39="","",Cashflow!$C39)</f>
        <v>Interest</v>
      </c>
      <c r="D47" s="79" t="n">
        <f aca="false">IF(Cashflow!$C39="","",Cashflow!$E39)</f>
        <v>0</v>
      </c>
      <c r="E47" s="79" t="n">
        <f aca="false">IF(Cashflow!$C39="","",Cashflow!$F39)</f>
        <v>25089.0410958904</v>
      </c>
      <c r="F47" s="79" t="n">
        <f aca="false">IF(Cashflow!$C39="","",Cashflow!$G39)</f>
        <v>25089.0410958904</v>
      </c>
      <c r="G47" s="79" t="n">
        <f aca="false">IF(Cashflow!$C39="","",Cashflow!$H39)</f>
        <v>3700000</v>
      </c>
      <c r="H47" s="80" t="str">
        <f aca="false">IF($B47="","",IF($B47&lt;=$C$9,"Complete","Forecast"))</f>
        <v>Forecast</v>
      </c>
    </row>
    <row r="48" customFormat="false" ht="15" hidden="false" customHeight="false" outlineLevel="0" collapsed="false">
      <c r="B48" s="77" t="n">
        <f aca="false">IF(Cashflow!$C40="","",Cashflow!$B40)</f>
        <v>46966</v>
      </c>
      <c r="C48" s="78" t="str">
        <f aca="false">IF(Cashflow!$C40="","",Cashflow!$C40)</f>
        <v>Interest + exit fee + redemption</v>
      </c>
      <c r="D48" s="79" t="n">
        <f aca="false">IF(Cashflow!$C40="","",Cashflow!$E40)</f>
        <v>0</v>
      </c>
      <c r="E48" s="79" t="n">
        <f aca="false">IF(Cashflow!$C40="","",Cashflow!$F40)</f>
        <v>25925.3424657534</v>
      </c>
      <c r="F48" s="79" t="n">
        <f aca="false">IF(Cashflow!$C40="","",Cashflow!$G40)</f>
        <v>3762925.34246575</v>
      </c>
      <c r="G48" s="79" t="n">
        <f aca="false">IF(Cashflow!$C40="","",Cashflow!$H40)</f>
        <v>0</v>
      </c>
      <c r="H48" s="80" t="str">
        <f aca="false">IF($B48="","",IF($B48&lt;=$C$9,"Complete","Forecast"))</f>
        <v>Forecast</v>
      </c>
    </row>
    <row r="49" customFormat="false" ht="15" hidden="false" customHeight="false" outlineLevel="0" collapsed="false">
      <c r="B49" s="77" t="str">
        <f aca="false">IF(Cashflow!$C41="","",Cashflow!$B41)</f>
        <v/>
      </c>
      <c r="C49" s="78" t="str">
        <f aca="false">IF(Cashflow!$C41="","",Cashflow!$C41)</f>
        <v/>
      </c>
      <c r="D49" s="79" t="str">
        <f aca="false">IF(Cashflow!$C41="","",Cashflow!$E41)</f>
        <v/>
      </c>
      <c r="E49" s="79" t="str">
        <f aca="false">IF(Cashflow!$C41="","",Cashflow!$F41)</f>
        <v/>
      </c>
      <c r="F49" s="79" t="str">
        <f aca="false">IF(Cashflow!$C41="","",Cashflow!$G41)</f>
        <v/>
      </c>
      <c r="G49" s="79" t="str">
        <f aca="false">IF(Cashflow!$C41="","",Cashflow!$H41)</f>
        <v/>
      </c>
      <c r="H49" s="80" t="str">
        <f aca="false">IF($B49="","",IF($B49&lt;=$C$9,"Complete","Forecast"))</f>
        <v/>
      </c>
    </row>
    <row r="50" customFormat="false" ht="15" hidden="false" customHeight="false" outlineLevel="0" collapsed="false">
      <c r="B50" s="77" t="str">
        <f aca="false">IF(Cashflow!$C42="","",Cashflow!$B42)</f>
        <v/>
      </c>
      <c r="C50" s="78" t="str">
        <f aca="false">IF(Cashflow!$C42="","",Cashflow!$C42)</f>
        <v/>
      </c>
      <c r="D50" s="79" t="str">
        <f aca="false">IF(Cashflow!$C42="","",Cashflow!$E42)</f>
        <v/>
      </c>
      <c r="E50" s="79" t="str">
        <f aca="false">IF(Cashflow!$C42="","",Cashflow!$F42)</f>
        <v/>
      </c>
      <c r="F50" s="79" t="str">
        <f aca="false">IF(Cashflow!$C42="","",Cashflow!$G42)</f>
        <v/>
      </c>
      <c r="G50" s="79" t="str">
        <f aca="false">IF(Cashflow!$C42="","",Cashflow!$H42)</f>
        <v/>
      </c>
      <c r="H50" s="80" t="str">
        <f aca="false">IF($B50="","",IF($B50&lt;=$C$9,"Complete","Forecast"))</f>
        <v/>
      </c>
    </row>
    <row r="51" customFormat="false" ht="15" hidden="false" customHeight="false" outlineLevel="0" collapsed="false">
      <c r="B51" s="77" t="str">
        <f aca="false">IF(Cashflow!$C43="","",Cashflow!$B43)</f>
        <v/>
      </c>
      <c r="C51" s="78" t="str">
        <f aca="false">IF(Cashflow!$C43="","",Cashflow!$C43)</f>
        <v/>
      </c>
      <c r="D51" s="79" t="str">
        <f aca="false">IF(Cashflow!$C43="","",Cashflow!$E43)</f>
        <v/>
      </c>
      <c r="E51" s="79" t="str">
        <f aca="false">IF(Cashflow!$C43="","",Cashflow!$F43)</f>
        <v/>
      </c>
      <c r="F51" s="79" t="str">
        <f aca="false">IF(Cashflow!$C43="","",Cashflow!$G43)</f>
        <v/>
      </c>
      <c r="G51" s="79" t="str">
        <f aca="false">IF(Cashflow!$C43="","",Cashflow!$H43)</f>
        <v/>
      </c>
      <c r="H51" s="80" t="str">
        <f aca="false">IF($B51="","",IF($B51&lt;=$C$9,"Complete","Forecast"))</f>
        <v/>
      </c>
    </row>
    <row r="52" customFormat="false" ht="15" hidden="false" customHeight="false" outlineLevel="0" collapsed="false">
      <c r="B52" s="77" t="str">
        <f aca="false">IF(Cashflow!$C44="","",Cashflow!$B44)</f>
        <v/>
      </c>
      <c r="C52" s="78" t="str">
        <f aca="false">IF(Cashflow!$C44="","",Cashflow!$C44)</f>
        <v/>
      </c>
      <c r="D52" s="79" t="str">
        <f aca="false">IF(Cashflow!$C44="","",Cashflow!$E44)</f>
        <v/>
      </c>
      <c r="E52" s="79" t="str">
        <f aca="false">IF(Cashflow!$C44="","",Cashflow!$F44)</f>
        <v/>
      </c>
      <c r="F52" s="79" t="str">
        <f aca="false">IF(Cashflow!$C44="","",Cashflow!$G44)</f>
        <v/>
      </c>
      <c r="G52" s="79" t="str">
        <f aca="false">IF(Cashflow!$C44="","",Cashflow!$H44)</f>
        <v/>
      </c>
      <c r="H52" s="80" t="str">
        <f aca="false">IF($B52="","",IF($B52&lt;=$C$9,"Complete","Forecast"))</f>
        <v/>
      </c>
    </row>
    <row r="53" customFormat="false" ht="15" hidden="false" customHeight="false" outlineLevel="0" collapsed="false">
      <c r="B53" s="77" t="str">
        <f aca="false">IF(Cashflow!$C45="","",Cashflow!$B45)</f>
        <v/>
      </c>
      <c r="C53" s="78" t="str">
        <f aca="false">IF(Cashflow!$C45="","",Cashflow!$C45)</f>
        <v/>
      </c>
      <c r="D53" s="79" t="str">
        <f aca="false">IF(Cashflow!$C45="","",Cashflow!$E45)</f>
        <v/>
      </c>
      <c r="E53" s="79" t="str">
        <f aca="false">IF(Cashflow!$C45="","",Cashflow!$F45)</f>
        <v/>
      </c>
      <c r="F53" s="79" t="str">
        <f aca="false">IF(Cashflow!$C45="","",Cashflow!$G45)</f>
        <v/>
      </c>
      <c r="G53" s="79" t="str">
        <f aca="false">IF(Cashflow!$C45="","",Cashflow!$H45)</f>
        <v/>
      </c>
      <c r="H53" s="80" t="str">
        <f aca="false">IF($B53="","",IF($B53&lt;=$C$9,"Complete","Forecast"))</f>
        <v/>
      </c>
    </row>
    <row r="54" customFormat="false" ht="15" hidden="false" customHeight="false" outlineLevel="0" collapsed="false">
      <c r="B54" s="77" t="str">
        <f aca="false">IF(Cashflow!$C46="","",Cashflow!$B46)</f>
        <v/>
      </c>
      <c r="C54" s="78" t="str">
        <f aca="false">IF(Cashflow!$C46="","",Cashflow!$C46)</f>
        <v/>
      </c>
      <c r="D54" s="79" t="str">
        <f aca="false">IF(Cashflow!$C46="","",Cashflow!$E46)</f>
        <v/>
      </c>
      <c r="E54" s="79" t="str">
        <f aca="false">IF(Cashflow!$C46="","",Cashflow!$F46)</f>
        <v/>
      </c>
      <c r="F54" s="79" t="str">
        <f aca="false">IF(Cashflow!$C46="","",Cashflow!$G46)</f>
        <v/>
      </c>
      <c r="G54" s="79" t="str">
        <f aca="false">IF(Cashflow!$C46="","",Cashflow!$H46)</f>
        <v/>
      </c>
      <c r="H54" s="80" t="str">
        <f aca="false">IF($B54="","",IF($B54&lt;=$C$9,"Complete","Forecast"))</f>
        <v/>
      </c>
    </row>
    <row r="55" customFormat="false" ht="15" hidden="false" customHeight="false" outlineLevel="0" collapsed="false">
      <c r="B55" s="77" t="str">
        <f aca="false">IF(Cashflow!$C47="","",Cashflow!$B47)</f>
        <v/>
      </c>
      <c r="C55" s="78" t="str">
        <f aca="false">IF(Cashflow!$C47="","",Cashflow!$C47)</f>
        <v/>
      </c>
      <c r="D55" s="79" t="str">
        <f aca="false">IF(Cashflow!$C47="","",Cashflow!$E47)</f>
        <v/>
      </c>
      <c r="E55" s="79" t="str">
        <f aca="false">IF(Cashflow!$C47="","",Cashflow!$F47)</f>
        <v/>
      </c>
      <c r="F55" s="79" t="str">
        <f aca="false">IF(Cashflow!$C47="","",Cashflow!$G47)</f>
        <v/>
      </c>
      <c r="G55" s="79" t="str">
        <f aca="false">IF(Cashflow!$C47="","",Cashflow!$H47)</f>
        <v/>
      </c>
      <c r="H55" s="80" t="str">
        <f aca="false">IF($B55="","",IF($B55&lt;=$C$9,"Complete","Forecast"))</f>
        <v/>
      </c>
    </row>
    <row r="56" customFormat="false" ht="15" hidden="false" customHeight="false" outlineLevel="0" collapsed="false">
      <c r="B56" s="77" t="str">
        <f aca="false">IF(Cashflow!$C48="","",Cashflow!$B48)</f>
        <v/>
      </c>
      <c r="C56" s="78" t="str">
        <f aca="false">IF(Cashflow!$C48="","",Cashflow!$C48)</f>
        <v/>
      </c>
      <c r="D56" s="79" t="str">
        <f aca="false">IF(Cashflow!$C48="","",Cashflow!$E48)</f>
        <v/>
      </c>
      <c r="E56" s="79" t="str">
        <f aca="false">IF(Cashflow!$C48="","",Cashflow!$F48)</f>
        <v/>
      </c>
      <c r="F56" s="79" t="str">
        <f aca="false">IF(Cashflow!$C48="","",Cashflow!$G48)</f>
        <v/>
      </c>
      <c r="G56" s="79" t="str">
        <f aca="false">IF(Cashflow!$C48="","",Cashflow!$H48)</f>
        <v/>
      </c>
      <c r="H56" s="80" t="str">
        <f aca="false">IF($B56="","",IF($B56&lt;=$C$9,"Complete","Forecast"))</f>
        <v/>
      </c>
    </row>
    <row r="57" customFormat="false" ht="15" hidden="false" customHeight="false" outlineLevel="0" collapsed="false">
      <c r="B57" s="77" t="str">
        <f aca="false">IF(Cashflow!$C49="","",Cashflow!$B49)</f>
        <v/>
      </c>
      <c r="C57" s="78" t="str">
        <f aca="false">IF(Cashflow!$C49="","",Cashflow!$C49)</f>
        <v/>
      </c>
      <c r="D57" s="79" t="str">
        <f aca="false">IF(Cashflow!$C49="","",Cashflow!$E49)</f>
        <v/>
      </c>
      <c r="E57" s="79" t="str">
        <f aca="false">IF(Cashflow!$C49="","",Cashflow!$F49)</f>
        <v/>
      </c>
      <c r="F57" s="79" t="str">
        <f aca="false">IF(Cashflow!$C49="","",Cashflow!$G49)</f>
        <v/>
      </c>
      <c r="G57" s="79" t="str">
        <f aca="false">IF(Cashflow!$C49="","",Cashflow!$H49)</f>
        <v/>
      </c>
      <c r="H57" s="80" t="str">
        <f aca="false">IF($B57="","",IF($B57&lt;=$C$9,"Complete","Forecast"))</f>
        <v/>
      </c>
    </row>
    <row r="58" customFormat="false" ht="15" hidden="false" customHeight="false" outlineLevel="0" collapsed="false">
      <c r="B58" s="77" t="str">
        <f aca="false">IF(Cashflow!$C50="","",Cashflow!$B50)</f>
        <v/>
      </c>
      <c r="C58" s="78" t="str">
        <f aca="false">IF(Cashflow!$C50="","",Cashflow!$C50)</f>
        <v/>
      </c>
      <c r="D58" s="79" t="str">
        <f aca="false">IF(Cashflow!$C50="","",Cashflow!$E50)</f>
        <v/>
      </c>
      <c r="E58" s="79" t="str">
        <f aca="false">IF(Cashflow!$C50="","",Cashflow!$F50)</f>
        <v/>
      </c>
      <c r="F58" s="79" t="str">
        <f aca="false">IF(Cashflow!$C50="","",Cashflow!$G50)</f>
        <v/>
      </c>
      <c r="G58" s="79" t="str">
        <f aca="false">IF(Cashflow!$C50="","",Cashflow!$H50)</f>
        <v/>
      </c>
      <c r="H58" s="80" t="str">
        <f aca="false">IF($B58="","",IF($B58&lt;=$C$9,"Complete","Forecast"))</f>
        <v/>
      </c>
    </row>
    <row r="59" customFormat="false" ht="15" hidden="false" customHeight="false" outlineLevel="0" collapsed="false">
      <c r="B59" s="77" t="str">
        <f aca="false">IF(Cashflow!$C51="","",Cashflow!$B51)</f>
        <v/>
      </c>
      <c r="C59" s="78" t="str">
        <f aca="false">IF(Cashflow!$C51="","",Cashflow!$C51)</f>
        <v/>
      </c>
      <c r="D59" s="79" t="str">
        <f aca="false">IF(Cashflow!$C51="","",Cashflow!$E51)</f>
        <v/>
      </c>
      <c r="E59" s="79" t="str">
        <f aca="false">IF(Cashflow!$C51="","",Cashflow!$F51)</f>
        <v/>
      </c>
      <c r="F59" s="79" t="str">
        <f aca="false">IF(Cashflow!$C51="","",Cashflow!$G51)</f>
        <v/>
      </c>
      <c r="G59" s="79" t="str">
        <f aca="false">IF(Cashflow!$C51="","",Cashflow!$H51)</f>
        <v/>
      </c>
      <c r="H59" s="80" t="str">
        <f aca="false">IF($B59="","",IF($B59&lt;=$C$9,"Complete","Forecast"))</f>
        <v/>
      </c>
    </row>
    <row r="60" customFormat="false" ht="15" hidden="false" customHeight="false" outlineLevel="0" collapsed="false">
      <c r="B60" s="77" t="str">
        <f aca="false">IF(Cashflow!$C52="","",Cashflow!$B52)</f>
        <v/>
      </c>
      <c r="C60" s="78" t="str">
        <f aca="false">IF(Cashflow!$C52="","",Cashflow!$C52)</f>
        <v/>
      </c>
      <c r="D60" s="79" t="str">
        <f aca="false">IF(Cashflow!$C52="","",Cashflow!$E52)</f>
        <v/>
      </c>
      <c r="E60" s="79" t="str">
        <f aca="false">IF(Cashflow!$C52="","",Cashflow!$F52)</f>
        <v/>
      </c>
      <c r="F60" s="79" t="str">
        <f aca="false">IF(Cashflow!$C52="","",Cashflow!$G52)</f>
        <v/>
      </c>
      <c r="G60" s="79" t="str">
        <f aca="false">IF(Cashflow!$C52="","",Cashflow!$H52)</f>
        <v/>
      </c>
      <c r="H60" s="80" t="str">
        <f aca="false">IF($B60="","",IF($B60&lt;=$C$9,"Complete","Forecast"))</f>
        <v/>
      </c>
    </row>
    <row r="61" customFormat="false" ht="15" hidden="false" customHeight="false" outlineLevel="0" collapsed="false">
      <c r="B61" s="81" t="s">
        <v>120</v>
      </c>
      <c r="C61" s="46"/>
      <c r="D61" s="82" t="n">
        <f aca="false">SUM(D24:D60)</f>
        <v>3700000</v>
      </c>
      <c r="E61" s="82" t="n">
        <f aca="false">SUM(E24:E60)</f>
        <v>611336.301369863</v>
      </c>
      <c r="F61" s="82" t="n">
        <f aca="false">SUM(F24:F60)</f>
        <v>4385336.30136986</v>
      </c>
      <c r="G61" s="46"/>
      <c r="H61" s="46"/>
    </row>
    <row r="64" customFormat="false" ht="15" hidden="false" customHeight="false" outlineLevel="0" collapsed="false">
      <c r="B64" s="15" t="s">
        <v>207</v>
      </c>
    </row>
    <row r="65" customFormat="false" ht="15" hidden="false" customHeight="false" outlineLevel="0" collapsed="false">
      <c r="B65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2026-08-24T15:35:01Z</dcterms:created>
  <dc:creator>openpyxl</dc:creator>
  <dc:description/>
  <dc:language>en-US</dc:language>
  <cp:lastModifiedBy/>
  <dcterms:modified xsi:type="dcterms:W3CDTF">2026-08-24T15:35:02Z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