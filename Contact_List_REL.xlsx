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 List" sheetId="1" state="visible" r:id="rId1"/>
    <sheet name="Summary" sheetId="2" state="visible" r:id="rId2"/>
    <sheet name="README" sheetId="3" state="visible" r:id="rId3"/>
  </sheets>
  <definedNames>
    <definedName name="_xlnm._FilterDatabase" localSheetId="0" hidden="1">'Contact List'!$A$4:$L$273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i val="1"/>
      <color rgb="00666666"/>
      <sz val="9"/>
    </font>
    <font>
      <name val="Arial"/>
      <b val="1"/>
      <color rgb="00FFFFFF"/>
      <sz val="10"/>
    </font>
    <font>
      <name val="Arial"/>
      <sz val="10"/>
    </font>
    <font>
      <name val="Arial"/>
      <i val="1"/>
      <color rgb="00808080"/>
      <sz val="10"/>
    </font>
    <font>
      <name val="Arial"/>
      <b val="1"/>
      <color rgb="001F3864"/>
      <sz val="14"/>
    </font>
    <font>
      <name val="Arial"/>
      <b val="1"/>
      <sz val="10"/>
    </font>
    <font>
      <name val="Arial"/>
      <color rgb="00000000"/>
      <sz val="10"/>
    </font>
    <font>
      <name val="Arial"/>
      <b val="1"/>
      <color rgb="001F3864"/>
      <sz val="11"/>
    </font>
  </fonts>
  <fills count="13">
    <fill>
      <patternFill/>
    </fill>
    <fill>
      <patternFill patternType="gray125"/>
    </fill>
    <fill>
      <patternFill patternType="solid">
        <fgColor rgb="001F3864"/>
      </patternFill>
    </fill>
    <fill>
      <patternFill patternType="solid">
        <fgColor rgb="00FCE4D6"/>
      </patternFill>
    </fill>
    <fill>
      <patternFill patternType="solid">
        <fgColor rgb="00DDEBF7"/>
      </patternFill>
    </fill>
    <fill>
      <patternFill patternType="solid">
        <fgColor rgb="00E2EFDA"/>
      </patternFill>
    </fill>
    <fill>
      <patternFill patternType="solid">
        <fgColor rgb="00FFF2CC"/>
      </patternFill>
    </fill>
    <fill>
      <patternFill patternType="solid">
        <fgColor rgb="00EDEDED"/>
      </patternFill>
    </fill>
    <fill>
      <patternFill patternType="solid">
        <fgColor rgb="00D9E1F2"/>
      </patternFill>
    </fill>
    <fill>
      <patternFill patternType="solid">
        <fgColor rgb="00FBE5EB"/>
      </patternFill>
    </fill>
    <fill>
      <patternFill patternType="solid">
        <fgColor rgb="00F2F2F2"/>
      </patternFill>
    </fill>
    <fill>
      <patternFill patternType="solid">
        <fgColor rgb="00C6E0B4"/>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xf>
    <xf numFmtId="0" fontId="4" fillId="3" borderId="1" applyAlignment="1" pivotButton="0" quotePrefix="0" xfId="0">
      <alignment horizontal="left" vertical="top"/>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1" applyAlignment="1" pivotButton="0" quotePrefix="0" xfId="0">
      <alignment horizontal="left" vertical="top"/>
    </xf>
    <xf numFmtId="0" fontId="4" fillId="11" borderId="1" applyAlignment="1" pivotButton="0" quotePrefix="0" xfId="0">
      <alignment horizontal="left" vertical="top"/>
    </xf>
    <xf numFmtId="0" fontId="4" fillId="12" borderId="1" applyAlignment="1" pivotButton="0" quotePrefix="0" xfId="0">
      <alignment horizontal="left" vertical="top"/>
    </xf>
    <xf numFmtId="0" fontId="6" fillId="0" borderId="0" pivotButton="0" quotePrefix="0" xfId="0"/>
    <xf numFmtId="0" fontId="3" fillId="2" borderId="1" pivotButton="0" quotePrefix="0" xfId="0"/>
    <xf numFmtId="0" fontId="4" fillId="3" borderId="1" pivotButton="0" quotePrefix="0" xfId="0"/>
    <xf numFmtId="0" fontId="4" fillId="0" borderId="1" applyAlignment="1" pivotButton="0" quotePrefix="0" xfId="0">
      <alignment horizontal="center"/>
    </xf>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7" fillId="0" borderId="1" pivotButton="0" quotePrefix="0" xfId="0"/>
    <xf numFmtId="0" fontId="7" fillId="0" borderId="1" applyAlignment="1" pivotButton="0" quotePrefix="0" xfId="0">
      <alignment horizontal="center"/>
    </xf>
    <xf numFmtId="0" fontId="6"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3"/>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30" customWidth="1" min="3" max="3"/>
    <col width="26" customWidth="1" min="4" max="4"/>
    <col width="34" customWidth="1" min="5" max="5"/>
    <col width="24" customWidth="1" min="6" max="6"/>
    <col width="12" customWidth="1" min="7" max="7"/>
    <col width="12" customWidth="1" min="8" max="8"/>
    <col width="10" customWidth="1" min="9" max="9"/>
    <col width="11" customWidth="1" min="10" max="10"/>
    <col width="19" customWidth="1" min="11" max="11"/>
    <col width="58" customWidth="1" min="12" max="12"/>
  </cols>
  <sheetData>
    <row r="1">
      <c r="A1" s="1" t="inlineStr">
        <is>
          <t>REL Finance — Contact List</t>
        </is>
      </c>
    </row>
    <row r="2">
      <c r="A2" s="2" t="inlineStr">
        <is>
          <t>Built automatically from Outlook (shyam@relfinance.co.uk) — last refreshed 2026-09-14. Refreshed weekly; do not hand-edit (see README tab).</t>
        </is>
      </c>
    </row>
    <row r="4">
      <c r="A4" s="3" t="inlineStr">
        <is>
          <t>Name</t>
        </is>
      </c>
      <c r="B4" s="3" t="inlineStr">
        <is>
          <t>Category</t>
        </is>
      </c>
      <c r="C4" s="3" t="inlineStr">
        <is>
          <t>Company</t>
        </is>
      </c>
      <c r="D4" s="3" t="inlineStr">
        <is>
          <t>Job Title</t>
        </is>
      </c>
      <c r="E4" s="3" t="inlineStr">
        <is>
          <t>Email</t>
        </is>
      </c>
      <c r="F4" s="3" t="inlineStr">
        <is>
          <t>Phone</t>
        </is>
      </c>
      <c r="G4" s="3" t="inlineStr">
        <is>
          <t>First Seen</t>
        </is>
      </c>
      <c r="H4" s="3" t="inlineStr">
        <is>
          <t>Last Seen</t>
        </is>
      </c>
      <c r="I4" s="3" t="inlineStr">
        <is>
          <t>Emails In</t>
        </is>
      </c>
      <c r="J4" s="3" t="inlineStr">
        <is>
          <t>Emails Out</t>
        </is>
      </c>
      <c r="K4" s="3" t="inlineStr">
        <is>
          <t>How Found</t>
        </is>
      </c>
      <c r="L4" s="3" t="inlineStr">
        <is>
          <t>Notes</t>
        </is>
      </c>
    </row>
    <row r="5">
      <c r="A5" s="4" t="inlineStr">
        <is>
          <t>Matthew Yassin</t>
        </is>
      </c>
      <c r="B5" s="5" t="inlineStr">
        <is>
          <t>Broker</t>
        </is>
      </c>
      <c r="C5" s="4" t="inlineStr">
        <is>
          <t>Aquilae Capital</t>
        </is>
      </c>
      <c r="D5" s="4" t="inlineStr"/>
      <c r="E5" s="4" t="inlineStr">
        <is>
          <t>matthew.yassin@aquilae-capital.com</t>
        </is>
      </c>
      <c r="F5" s="4" t="inlineStr"/>
      <c r="G5" s="6" t="inlineStr">
        <is>
          <t>2026-09-03</t>
        </is>
      </c>
      <c r="H5" s="6" t="inlineStr">
        <is>
          <t>2026-09-10</t>
        </is>
      </c>
      <c r="I5" s="6" t="n">
        <v>1</v>
      </c>
      <c r="J5" s="6" t="n">
        <v>0</v>
      </c>
      <c r="K5" s="4" t="inlineStr">
        <is>
          <t>Direct correspondence</t>
        </is>
      </c>
      <c r="L5" s="7" t="inlineStr">
        <is>
          <t>Resi bridge enquiry — REL issued terms at £7.4m / 65% LTV, 04/09.</t>
        </is>
      </c>
    </row>
    <row r="6">
      <c r="A6" s="4" t="inlineStr">
        <is>
          <t>Samuel Beaumont</t>
        </is>
      </c>
      <c r="B6" s="5" t="inlineStr">
        <is>
          <t>Broker</t>
        </is>
      </c>
      <c r="C6" s="4" t="inlineStr">
        <is>
          <t>Arc &amp; Co</t>
        </is>
      </c>
      <c r="D6" s="4" t="inlineStr"/>
      <c r="E6" s="4" t="inlineStr">
        <is>
          <t>sam@arcandco.com</t>
        </is>
      </c>
      <c r="F6" s="4" t="inlineStr"/>
      <c r="G6" s="6" t="inlineStr">
        <is>
          <t>2025-02-11</t>
        </is>
      </c>
      <c r="H6" s="6" t="inlineStr">
        <is>
          <t>2025-02-11</t>
        </is>
      </c>
      <c r="I6" s="6" t="n">
        <v>0</v>
      </c>
      <c r="J6" s="6" t="n">
        <v>0</v>
      </c>
      <c r="K6" s="8" t="inlineStr">
        <is>
          <t>Named in a thread</t>
        </is>
      </c>
      <c r="L6" s="7" t="inlineStr">
        <is>
          <t>Arc &amp; Co broker who sent REL the North Lakes opportunity (Feb 2025).</t>
        </is>
      </c>
    </row>
    <row r="7">
      <c r="A7" s="4" t="inlineStr">
        <is>
          <t>Tom Goldsmith</t>
        </is>
      </c>
      <c r="B7" s="5" t="inlineStr">
        <is>
          <t>Broker</t>
        </is>
      </c>
      <c r="C7" s="4" t="inlineStr">
        <is>
          <t>Arc &amp; Co</t>
        </is>
      </c>
      <c r="D7" s="4" t="inlineStr"/>
      <c r="E7" s="4" t="inlineStr">
        <is>
          <t>tom.goldsmith@arcandco.com</t>
        </is>
      </c>
      <c r="F7" s="4" t="inlineStr"/>
      <c r="G7" s="6" t="inlineStr">
        <is>
          <t>2026-04-13</t>
        </is>
      </c>
      <c r="H7" s="6" t="inlineStr">
        <is>
          <t>2026-04-14</t>
        </is>
      </c>
      <c r="I7" s="6" t="n">
        <v>0</v>
      </c>
      <c r="J7" s="6" t="n">
        <v>0</v>
      </c>
      <c r="K7" s="8" t="inlineStr">
        <is>
          <t>Named in a thread</t>
        </is>
      </c>
      <c r="L7" s="7" t="inlineStr">
        <is>
          <t>Arc &amp; Co broker on the Melton Mowbray &amp; Lowestoft bridge loan. Has since moved to FRP Advisory — use the frpadvisory.com address.</t>
        </is>
      </c>
    </row>
    <row r="8">
      <c r="A8" s="4" t="inlineStr">
        <is>
          <t>James Gray</t>
        </is>
      </c>
      <c r="B8" s="5" t="inlineStr">
        <is>
          <t>Broker</t>
        </is>
      </c>
      <c r="C8" s="4" t="inlineStr">
        <is>
          <t>ARE Capital Advisors</t>
        </is>
      </c>
      <c r="D8" s="4" t="inlineStr">
        <is>
          <t>Managing Director</t>
        </is>
      </c>
      <c r="E8" s="4" t="inlineStr">
        <is>
          <t>james.gray@arecapitaladvisors.com</t>
        </is>
      </c>
      <c r="F8" s="4" t="inlineStr">
        <is>
          <t>+44 (0)7812 348 978</t>
        </is>
      </c>
      <c r="G8" s="6" t="inlineStr">
        <is>
          <t>2025-06-03</t>
        </is>
      </c>
      <c r="H8" s="6" t="inlineStr">
        <is>
          <t>2026-06-23</t>
        </is>
      </c>
      <c r="I8" s="6" t="n">
        <v>5</v>
      </c>
      <c r="J8" s="6" t="n">
        <v>0</v>
      </c>
      <c r="K8" s="4" t="inlineStr">
        <is>
          <t>Direct correspondence</t>
        </is>
      </c>
      <c r="L8" s="7" t="inlineStr">
        <is>
          <t>Introduced Bromley later-living and 1 Westmoreland Bromley</t>
        </is>
      </c>
    </row>
    <row r="9">
      <c r="A9" s="4" t="inlineStr">
        <is>
          <t>Alexander Pasche</t>
        </is>
      </c>
      <c r="B9" s="5" t="inlineStr">
        <is>
          <t>Broker</t>
        </is>
      </c>
      <c r="C9" s="4" t="inlineStr">
        <is>
          <t>Avier Capital</t>
        </is>
      </c>
      <c r="D9" s="4" t="inlineStr"/>
      <c r="E9" s="4" t="inlineStr">
        <is>
          <t>alexander.pasche@aviercapital.com</t>
        </is>
      </c>
      <c r="F9" s="4" t="inlineStr"/>
      <c r="G9" s="6" t="inlineStr">
        <is>
          <t>2026-02-25</t>
        </is>
      </c>
      <c r="H9" s="6" t="inlineStr">
        <is>
          <t>2026-02-25</t>
        </is>
      </c>
      <c r="I9" s="6" t="n">
        <v>0</v>
      </c>
      <c r="J9" s="6" t="n">
        <v>0</v>
      </c>
      <c r="K9" s="8" t="inlineStr">
        <is>
          <t>Named in a thread</t>
        </is>
      </c>
      <c r="L9" s="7" t="inlineStr">
        <is>
          <t>Forwarded HREF's letter of support to brokers after the MFS and Century Capital administrations, Feb 2026.</t>
        </is>
      </c>
    </row>
    <row r="10">
      <c r="A10" s="4" t="inlineStr">
        <is>
          <t>Amy Woodthorpe</t>
        </is>
      </c>
      <c r="B10" s="5" t="inlineStr">
        <is>
          <t>Broker</t>
        </is>
      </c>
      <c r="C10" s="4" t="inlineStr">
        <is>
          <t>Avison Young</t>
        </is>
      </c>
      <c r="D10" s="4" t="inlineStr">
        <is>
          <t>London Investment</t>
        </is>
      </c>
      <c r="E10" s="4" t="inlineStr">
        <is>
          <t>amy.woodthorpe@avisonyoung.com</t>
        </is>
      </c>
      <c r="F10" s="4" t="inlineStr">
        <is>
          <t>+44 7887801762</t>
        </is>
      </c>
      <c r="G10" s="6" t="inlineStr">
        <is>
          <t>2026-05-11</t>
        </is>
      </c>
      <c r="H10" s="6" t="inlineStr">
        <is>
          <t>2026-06-03</t>
        </is>
      </c>
      <c r="I10" s="6" t="n">
        <v>1</v>
      </c>
      <c r="J10" s="6" t="n">
        <v>0</v>
      </c>
      <c r="K10" s="4" t="inlineStr">
        <is>
          <t>Direct correspondence</t>
        </is>
      </c>
      <c r="L10" s="7" t="inlineStr">
        <is>
          <t>Avison Young debt advisory team on the regional office financing (Eagle Tower, Cheltenham)</t>
        </is>
      </c>
    </row>
    <row r="11">
      <c r="A11" s="4" t="inlineStr">
        <is>
          <t>Richard Day</t>
        </is>
      </c>
      <c r="B11" s="5" t="inlineStr">
        <is>
          <t>Broker</t>
        </is>
      </c>
      <c r="C11" s="4" t="inlineStr">
        <is>
          <t>Avison Young</t>
        </is>
      </c>
      <c r="D11" s="4" t="inlineStr">
        <is>
          <t>Head of Debt Advisory, Capital Markets</t>
        </is>
      </c>
      <c r="E11" s="4" t="inlineStr">
        <is>
          <t>richard.day@avisonyoung.com</t>
        </is>
      </c>
      <c r="F11" s="4" t="inlineStr">
        <is>
          <t>+44 (0)782 531 3653</t>
        </is>
      </c>
      <c r="G11" s="6" t="inlineStr">
        <is>
          <t>2026-05-11</t>
        </is>
      </c>
      <c r="H11" s="6" t="inlineStr">
        <is>
          <t>2026-06-03</t>
        </is>
      </c>
      <c r="I11" s="6" t="n">
        <v>1</v>
      </c>
      <c r="J11" s="6" t="n">
        <v>0</v>
      </c>
      <c r="K11" s="4" t="inlineStr">
        <is>
          <t>Direct correspondence</t>
        </is>
      </c>
      <c r="L11" s="7" t="inlineStr">
        <is>
          <t>Debt advisor who brought Eagle Tower, Cheltenham; lost on pricing</t>
        </is>
      </c>
    </row>
    <row r="12">
      <c r="A12" s="4" t="inlineStr">
        <is>
          <t>Ravi Joshi</t>
        </is>
      </c>
      <c r="B12" s="5" t="inlineStr">
        <is>
          <t>Broker</t>
        </is>
      </c>
      <c r="C12" s="4" t="inlineStr">
        <is>
          <t>AWS Mortgages</t>
        </is>
      </c>
      <c r="D12" s="4" t="inlineStr"/>
      <c r="E12" s="4" t="inlineStr">
        <is>
          <t>r.joshi@awsmortgages.co.uk</t>
        </is>
      </c>
      <c r="F12" s="4" t="inlineStr"/>
      <c r="G12" s="6" t="inlineStr">
        <is>
          <t>2026-08-17</t>
        </is>
      </c>
      <c r="H12" s="6" t="inlineStr">
        <is>
          <t>2026-08-17</t>
        </is>
      </c>
      <c r="I12" s="6" t="n">
        <v>0</v>
      </c>
      <c r="J12" s="6" t="n">
        <v>0</v>
      </c>
      <c r="K12" s="8" t="inlineStr">
        <is>
          <t>Named in a thread</t>
        </is>
      </c>
      <c r="L12" s="7" t="inlineStr">
        <is>
          <t>Portfolio refinance enquiry, 17/08.</t>
        </is>
      </c>
    </row>
    <row r="13">
      <c r="A13" s="4" t="inlineStr">
        <is>
          <t>Alison Zambrano</t>
        </is>
      </c>
      <c r="B13" s="5" t="inlineStr">
        <is>
          <t>Broker</t>
        </is>
      </c>
      <c r="C13" s="4" t="inlineStr">
        <is>
          <t>BBS Capital</t>
        </is>
      </c>
      <c r="D13" s="4" t="inlineStr"/>
      <c r="E13" s="4" t="inlineStr">
        <is>
          <t>alison@bbscapital.com</t>
        </is>
      </c>
      <c r="F13" s="4" t="inlineStr"/>
      <c r="G13" s="6" t="inlineStr">
        <is>
          <t>2025-05-20</t>
        </is>
      </c>
      <c r="H13" s="6" t="inlineStr">
        <is>
          <t>2025-05-20</t>
        </is>
      </c>
      <c r="I13" s="6" t="n">
        <v>0</v>
      </c>
      <c r="J13" s="6" t="n">
        <v>0</v>
      </c>
      <c r="K13" s="8" t="inlineStr">
        <is>
          <t>Named in a thread</t>
        </is>
      </c>
      <c r="L13" s="7" t="inlineStr">
        <is>
          <t>BBS Capital side on the Kentish Town co-living funding enquiry</t>
        </is>
      </c>
    </row>
    <row r="14">
      <c r="A14" s="4" t="inlineStr">
        <is>
          <t>Joseph Clery</t>
        </is>
      </c>
      <c r="B14" s="5" t="inlineStr">
        <is>
          <t>Broker</t>
        </is>
      </c>
      <c r="C14" s="4" t="inlineStr">
        <is>
          <t>BBS Capital</t>
        </is>
      </c>
      <c r="D14" s="4" t="inlineStr"/>
      <c r="E14" s="4" t="inlineStr">
        <is>
          <t>joseph@bbscapital.com</t>
        </is>
      </c>
      <c r="F14" s="4" t="inlineStr"/>
      <c r="G14" s="6" t="inlineStr">
        <is>
          <t>2025-05-20</t>
        </is>
      </c>
      <c r="H14" s="6" t="inlineStr">
        <is>
          <t>2025-05-20</t>
        </is>
      </c>
      <c r="I14" s="6" t="n">
        <v>0</v>
      </c>
      <c r="J14" s="6" t="n">
        <v>0</v>
      </c>
      <c r="K14" s="8" t="inlineStr">
        <is>
          <t>Named in a thread</t>
        </is>
      </c>
      <c r="L14" s="7" t="inlineStr">
        <is>
          <t>BBS Capital side on the Kentish Town co-living funding enquiry</t>
        </is>
      </c>
    </row>
    <row r="15">
      <c r="A15" s="4" t="inlineStr">
        <is>
          <t>Dominic Gibson</t>
        </is>
      </c>
      <c r="B15" s="5" t="inlineStr">
        <is>
          <t>Broker</t>
        </is>
      </c>
      <c r="C15" s="4" t="inlineStr">
        <is>
          <t>Beckford Advisory</t>
        </is>
      </c>
      <c r="D15" s="4" t="inlineStr"/>
      <c r="E15" s="4" t="inlineStr">
        <is>
          <t>dominic@beckfordadvisory.com</t>
        </is>
      </c>
      <c r="F15" s="4" t="inlineStr"/>
      <c r="G15" s="6" t="inlineStr">
        <is>
          <t>2026-06-15</t>
        </is>
      </c>
      <c r="H15" s="6" t="inlineStr">
        <is>
          <t>2026-06-16</t>
        </is>
      </c>
      <c r="I15" s="6" t="n">
        <v>0</v>
      </c>
      <c r="J15" s="6" t="n">
        <v>0</v>
      </c>
      <c r="K15" s="8" t="inlineStr">
        <is>
          <t>Named in a thread</t>
        </is>
      </c>
      <c r="L15" s="7" t="inlineStr">
        <is>
          <t>Beckford colleague on the £25m prime central London bridge</t>
        </is>
      </c>
    </row>
    <row r="16">
      <c r="A16" s="4" t="inlineStr">
        <is>
          <t>John Kerrigan</t>
        </is>
      </c>
      <c r="B16" s="5" t="inlineStr">
        <is>
          <t>Broker</t>
        </is>
      </c>
      <c r="C16" s="4" t="inlineStr">
        <is>
          <t>Beckford Advisory</t>
        </is>
      </c>
      <c r="D16" s="4" t="inlineStr">
        <is>
          <t>Partner</t>
        </is>
      </c>
      <c r="E16" s="4" t="inlineStr">
        <is>
          <t>john@beckfordadvisory.com</t>
        </is>
      </c>
      <c r="F16" s="4" t="inlineStr">
        <is>
          <t>+44 (0) 7508 225 678</t>
        </is>
      </c>
      <c r="G16" s="6" t="inlineStr">
        <is>
          <t>2026-06-15</t>
        </is>
      </c>
      <c r="H16" s="6" t="inlineStr">
        <is>
          <t>2026-06-16</t>
        </is>
      </c>
      <c r="I16" s="6" t="n">
        <v>6</v>
      </c>
      <c r="J16" s="6" t="n">
        <v>0</v>
      </c>
      <c r="K16" s="4" t="inlineStr">
        <is>
          <t>Direct correspondence</t>
        </is>
      </c>
      <c r="L16" s="7" t="inlineStr">
        <is>
          <t>Brought the £25m prime central London bridge loan</t>
        </is>
      </c>
    </row>
    <row r="17">
      <c r="A17" s="4" t="inlineStr">
        <is>
          <t>Pratik Shah</t>
        </is>
      </c>
      <c r="B17" s="5" t="inlineStr">
        <is>
          <t>Broker</t>
        </is>
      </c>
      <c r="C17" s="4" t="inlineStr">
        <is>
          <t>BIZL Limited</t>
        </is>
      </c>
      <c r="D17" s="4" t="inlineStr">
        <is>
          <t>Commercial Finance Broker</t>
        </is>
      </c>
      <c r="E17" s="4" t="inlineStr">
        <is>
          <t>pratik@bizl.co</t>
        </is>
      </c>
      <c r="F17" s="4" t="inlineStr"/>
      <c r="G17" s="6" t="inlineStr">
        <is>
          <t>2026-08-21</t>
        </is>
      </c>
      <c r="H17" s="6" t="inlineStr">
        <is>
          <t>2026-08-27</t>
        </is>
      </c>
      <c r="I17" s="6" t="n">
        <v>0</v>
      </c>
      <c r="J17" s="6" t="n">
        <v>0</v>
      </c>
      <c r="K17" s="8" t="inlineStr">
        <is>
          <t>Named in a thread</t>
        </is>
      </c>
      <c r="L17" s="7" t="inlineStr">
        <is>
          <t>Brought the Cranley Hotel refurb-to-term; REL proposed a bespoke structure reducing the initial interest burden, 27/08.</t>
        </is>
      </c>
    </row>
    <row r="18">
      <c r="A18" s="4" t="inlineStr">
        <is>
          <t>Charlie Latimer</t>
        </is>
      </c>
      <c r="B18" s="5" t="inlineStr">
        <is>
          <t>Broker</t>
        </is>
      </c>
      <c r="C18" s="4" t="inlineStr">
        <is>
          <t>Blackbear Capital Partners LLP</t>
        </is>
      </c>
      <c r="D18" s="4" t="inlineStr"/>
      <c r="E18" s="4" t="inlineStr">
        <is>
          <t>charlie.latimer@blackbear-capital.com</t>
        </is>
      </c>
      <c r="F18" s="4" t="inlineStr">
        <is>
          <t>+44 (0)20 3750 6302, +44 (0)7716 234537</t>
        </is>
      </c>
      <c r="G18" s="6" t="inlineStr">
        <is>
          <t>2025-06-03</t>
        </is>
      </c>
      <c r="H18" s="6" t="inlineStr">
        <is>
          <t>2026-07-02</t>
        </is>
      </c>
      <c r="I18" s="6" t="n">
        <v>2</v>
      </c>
      <c r="J18" s="6" t="n">
        <v>0</v>
      </c>
      <c r="K18" s="4" t="inlineStr">
        <is>
          <t>Direct correspondence</t>
        </is>
      </c>
      <c r="L18" s="7" t="inlineStr">
        <is>
          <t>Debt advisor on 9 Eaton Place refinance and the Julius London £25.5m acquisition facility (REL/OakNorth terms issued)</t>
        </is>
      </c>
    </row>
    <row r="19">
      <c r="A19" s="4" t="inlineStr">
        <is>
          <t>Heath Forusz</t>
        </is>
      </c>
      <c r="B19" s="5" t="inlineStr">
        <is>
          <t>Broker</t>
        </is>
      </c>
      <c r="C19" s="4" t="inlineStr">
        <is>
          <t>Blackbear Capital Partners LLP</t>
        </is>
      </c>
      <c r="D19" s="4" t="inlineStr"/>
      <c r="E19" s="4" t="inlineStr">
        <is>
          <t>heath.forusz@blackbear-capital.com</t>
        </is>
      </c>
      <c r="F19" s="4" t="inlineStr"/>
      <c r="G19" s="6" t="inlineStr">
        <is>
          <t>2025-06-03</t>
        </is>
      </c>
      <c r="H19" s="6" t="inlineStr">
        <is>
          <t>2026-07-02</t>
        </is>
      </c>
      <c r="I19" s="6" t="n">
        <v>0</v>
      </c>
      <c r="J19" s="6" t="n">
        <v>0</v>
      </c>
      <c r="K19" s="8" t="inlineStr">
        <is>
          <t>Named in a thread</t>
        </is>
      </c>
      <c r="L19" s="7" t="inlineStr">
        <is>
          <t>Blackbear colleague of Charlie Latimer on 9 Eaton Place and The Julius London</t>
        </is>
      </c>
    </row>
    <row r="20">
      <c r="A20" s="4" t="inlineStr">
        <is>
          <t>Delvin Kennedy</t>
        </is>
      </c>
      <c r="B20" s="5" t="inlineStr">
        <is>
          <t>Broker</t>
        </is>
      </c>
      <c r="C20" s="4" t="inlineStr">
        <is>
          <t>BLCK Capital</t>
        </is>
      </c>
      <c r="D20" s="4" t="inlineStr">
        <is>
          <t>Underwriting</t>
        </is>
      </c>
      <c r="E20" s="4" t="inlineStr">
        <is>
          <t>delvin@blckcap.com</t>
        </is>
      </c>
      <c r="F20" s="4" t="inlineStr">
        <is>
          <t>+44 7777 932630</t>
        </is>
      </c>
      <c r="G20" s="6" t="inlineStr">
        <is>
          <t>2026-09-04</t>
        </is>
      </c>
      <c r="H20" s="6" t="inlineStr">
        <is>
          <t>2026-09-08</t>
        </is>
      </c>
      <c r="I20" s="6" t="n">
        <v>3</v>
      </c>
      <c r="J20" s="6" t="n">
        <v>0</v>
      </c>
      <c r="K20" s="4" t="inlineStr">
        <is>
          <t>Direct correspondence</t>
        </is>
      </c>
      <c r="L20" s="7" t="inlineStr">
        <is>
          <t>Project Hannah — c.£33m London residential land bridge. NDA agreed 04/09; REL would partner with a loan-on-loan senior at this size.</t>
        </is>
      </c>
    </row>
    <row r="21">
      <c r="A21" s="4" t="inlineStr">
        <is>
          <t>Jonathan Black</t>
        </is>
      </c>
      <c r="B21" s="5" t="inlineStr">
        <is>
          <t>Broker</t>
        </is>
      </c>
      <c r="C21" s="4" t="inlineStr">
        <is>
          <t>BLCK Capital</t>
        </is>
      </c>
      <c r="D21" s="4" t="inlineStr"/>
      <c r="E21" s="4" t="inlineStr">
        <is>
          <t>jonathan@blckcap.com</t>
        </is>
      </c>
      <c r="F21" s="4" t="inlineStr"/>
      <c r="G21" s="6" t="inlineStr">
        <is>
          <t>2026-09-04</t>
        </is>
      </c>
      <c r="H21" s="6" t="inlineStr">
        <is>
          <t>2026-09-08</t>
        </is>
      </c>
      <c r="I21" s="6" t="n">
        <v>0</v>
      </c>
      <c r="J21" s="6" t="n">
        <v>0</v>
      </c>
      <c r="K21" s="8" t="inlineStr">
        <is>
          <t>Named in a thread</t>
        </is>
      </c>
      <c r="L21" s="7" t="inlineStr">
        <is>
          <t>Colleague of Delvin Kennedy on Project Hannah.</t>
        </is>
      </c>
    </row>
    <row r="22">
      <c r="A22" s="4" t="inlineStr">
        <is>
          <t>Joe Eden</t>
        </is>
      </c>
      <c r="B22" s="5" t="inlineStr">
        <is>
          <t>Broker</t>
        </is>
      </c>
      <c r="C22" s="4" t="inlineStr">
        <is>
          <t>Bridgemore Capital</t>
        </is>
      </c>
      <c r="D22" s="4" t="inlineStr"/>
      <c r="E22" s="4" t="inlineStr">
        <is>
          <t>jeden@bridgemorecapital.co.uk</t>
        </is>
      </c>
      <c r="F22" s="4" t="inlineStr"/>
      <c r="G22" s="6" t="inlineStr">
        <is>
          <t>2026-08-17</t>
        </is>
      </c>
      <c r="H22" s="6" t="inlineStr">
        <is>
          <t>2026-08-17</t>
        </is>
      </c>
      <c r="I22" s="6" t="n">
        <v>0</v>
      </c>
      <c r="J22" s="6" t="n">
        <v>0</v>
      </c>
      <c r="K22" s="8" t="inlineStr">
        <is>
          <t>Named in a thread</t>
        </is>
      </c>
      <c r="L22" s="7" t="inlineStr">
        <is>
          <t>Brought the St Giles Hotel, London funding opportunity — £31.5m acquisition against c.£55m investment value.</t>
        </is>
      </c>
    </row>
    <row r="23">
      <c r="A23" s="4" t="inlineStr">
        <is>
          <t>Richard Akka</t>
        </is>
      </c>
      <c r="B23" s="5" t="inlineStr">
        <is>
          <t>Broker</t>
        </is>
      </c>
      <c r="C23" s="4" t="inlineStr">
        <is>
          <t>C10 Finance</t>
        </is>
      </c>
      <c r="D23" s="4" t="inlineStr"/>
      <c r="E23" s="4" t="inlineStr">
        <is>
          <t>richard@c10finance.com</t>
        </is>
      </c>
      <c r="F23" s="4" t="inlineStr"/>
      <c r="G23" s="6" t="inlineStr">
        <is>
          <t>2026-03-25</t>
        </is>
      </c>
      <c r="H23" s="6" t="inlineStr">
        <is>
          <t>2026-03-27</t>
        </is>
      </c>
      <c r="I23" s="6" t="n">
        <v>0</v>
      </c>
      <c r="J23" s="6" t="n">
        <v>0</v>
      </c>
      <c r="K23" s="8" t="inlineStr">
        <is>
          <t>Named in a thread</t>
        </is>
      </c>
      <c r="L23" s="7" t="inlineStr">
        <is>
          <t>Presented the Audley House, Liverpool mezzanine development finance request</t>
        </is>
      </c>
    </row>
    <row r="24">
      <c r="A24" s="4" t="inlineStr">
        <is>
          <t>Raj Kumar</t>
        </is>
      </c>
      <c r="B24" s="5" t="inlineStr">
        <is>
          <t>Broker</t>
        </is>
      </c>
      <c r="C24" s="4" t="inlineStr">
        <is>
          <t>Carrowmore Capital</t>
        </is>
      </c>
      <c r="D24" s="4" t="inlineStr"/>
      <c r="E24" s="4" t="inlineStr">
        <is>
          <t>raj@carrowmorecapital.com</t>
        </is>
      </c>
      <c r="F24" s="4" t="inlineStr"/>
      <c r="G24" s="6" t="inlineStr">
        <is>
          <t>2026-01-28</t>
        </is>
      </c>
      <c r="H24" s="6" t="inlineStr">
        <is>
          <t>2026-01-28</t>
        </is>
      </c>
      <c r="I24" s="6" t="n">
        <v>0</v>
      </c>
      <c r="J24" s="6" t="n">
        <v>0</v>
      </c>
      <c r="K24" s="8" t="inlineStr">
        <is>
          <t>Named in a thread</t>
        </is>
      </c>
      <c r="L24" s="7" t="inlineStr">
        <is>
          <t>Brought Quayside House, Town Quay Wharf, Barking</t>
        </is>
      </c>
    </row>
    <row r="25">
      <c r="A25" s="4" t="inlineStr">
        <is>
          <t>Archi Wallace Griffin</t>
        </is>
      </c>
      <c r="B25" s="5" t="inlineStr">
        <is>
          <t>Broker</t>
        </is>
      </c>
      <c r="C25" s="4" t="inlineStr">
        <is>
          <t>Charles Irvine Group LLP</t>
        </is>
      </c>
      <c r="D25" s="4" t="inlineStr"/>
      <c r="E25" s="4" t="inlineStr">
        <is>
          <t>archi.griffin@charlesirvine.com</t>
        </is>
      </c>
      <c r="F25" s="4" t="inlineStr">
        <is>
          <t>+44 7415 931 700</t>
        </is>
      </c>
      <c r="G25" s="6" t="inlineStr">
        <is>
          <t>2025-10-07</t>
        </is>
      </c>
      <c r="H25" s="6" t="inlineStr">
        <is>
          <t>2026-04-24</t>
        </is>
      </c>
      <c r="I25" s="6" t="n">
        <v>1</v>
      </c>
      <c r="J25" s="6" t="n">
        <v>0</v>
      </c>
      <c r="K25" s="4" t="inlineStr">
        <is>
          <t>Direct correspondence</t>
        </is>
      </c>
      <c r="L25" s="7" t="inlineStr">
        <is>
          <t>Charles Irvine team on the SE industrial portfolio refinance and Croydon office refurbishment debt.</t>
        </is>
      </c>
    </row>
    <row r="26">
      <c r="A26" s="4" t="inlineStr">
        <is>
          <t>David Cunnington</t>
        </is>
      </c>
      <c r="B26" s="5" t="inlineStr">
        <is>
          <t>Broker</t>
        </is>
      </c>
      <c r="C26" s="4" t="inlineStr">
        <is>
          <t>Charles Irvine Group LLP</t>
        </is>
      </c>
      <c r="D26" s="4" t="inlineStr"/>
      <c r="E26" s="4" t="inlineStr">
        <is>
          <t>david.cunnington@charlesirvine.com</t>
        </is>
      </c>
      <c r="F26" s="4" t="inlineStr"/>
      <c r="G26" s="6" t="inlineStr">
        <is>
          <t>2025-10-07</t>
        </is>
      </c>
      <c r="H26" s="6" t="inlineStr">
        <is>
          <t>2026-04-24</t>
        </is>
      </c>
      <c r="I26" s="6" t="n">
        <v>0</v>
      </c>
      <c r="J26" s="6" t="n">
        <v>0</v>
      </c>
      <c r="K26" s="8" t="inlineStr">
        <is>
          <t>Named in a thread</t>
        </is>
      </c>
      <c r="L26" s="7" t="inlineStr">
        <is>
          <t>Charles Irvine contact on the Croydon office refurbishment debt and SE industrial portfolio refinance.</t>
        </is>
      </c>
    </row>
    <row r="27">
      <c r="A27" s="4" t="inlineStr">
        <is>
          <t>Thomas Bland</t>
        </is>
      </c>
      <c r="B27" s="5" t="inlineStr">
        <is>
          <t>Broker</t>
        </is>
      </c>
      <c r="C27" s="4" t="inlineStr">
        <is>
          <t>Charles Irvine Group LLP</t>
        </is>
      </c>
      <c r="D27" s="4" t="inlineStr">
        <is>
          <t>Partner</t>
        </is>
      </c>
      <c r="E27" s="4" t="inlineStr">
        <is>
          <t>thomas.bland@charlesirvine.com</t>
        </is>
      </c>
      <c r="F27" s="4" t="inlineStr">
        <is>
          <t>+44 7584 518 263</t>
        </is>
      </c>
      <c r="G27" s="6" t="inlineStr">
        <is>
          <t>2025-10-07</t>
        </is>
      </c>
      <c r="H27" s="6" t="inlineStr">
        <is>
          <t>2025-11-04</t>
        </is>
      </c>
      <c r="I27" s="6" t="n">
        <v>6</v>
      </c>
      <c r="J27" s="6" t="n">
        <v>0</v>
      </c>
      <c r="K27" s="4" t="inlineStr">
        <is>
          <t>Direct correspondence</t>
        </is>
      </c>
      <c r="L27" s="7" t="inlineStr">
        <is>
          <t>Debt advisor on the £32.5m Southeast UK industrial portfolio refinancing.</t>
        </is>
      </c>
    </row>
    <row r="28">
      <c r="A28" s="4" t="inlineStr">
        <is>
          <t>Arsh Basi</t>
        </is>
      </c>
      <c r="B28" s="5" t="inlineStr">
        <is>
          <t>Broker</t>
        </is>
      </c>
      <c r="C28" s="4" t="inlineStr">
        <is>
          <t>Conduit Real Estate</t>
        </is>
      </c>
      <c r="D28" s="4" t="inlineStr"/>
      <c r="E28" s="4" t="inlineStr">
        <is>
          <t>arsh@conduitre.com</t>
        </is>
      </c>
      <c r="F28" s="4" t="inlineStr"/>
      <c r="G28" s="6" t="inlineStr">
        <is>
          <t>2025-10-15</t>
        </is>
      </c>
      <c r="H28" s="6" t="inlineStr">
        <is>
          <t>2025-10-15</t>
        </is>
      </c>
      <c r="I28" s="6" t="n">
        <v>0</v>
      </c>
      <c r="J28" s="6" t="n">
        <v>0</v>
      </c>
      <c r="K28" s="8" t="inlineStr">
        <is>
          <t>Named in a thread</t>
        </is>
      </c>
      <c r="L28" s="7" t="inlineStr">
        <is>
          <t>Conduit Real Estate team member on Project Bradley, the Audley Cooper's Hill inventory loan; ConduitRE is mandated exclusively by Audley Group, the sponsor.</t>
        </is>
      </c>
    </row>
    <row r="29">
      <c r="A29" s="4" t="inlineStr">
        <is>
          <t>Balaji Nagabhushan</t>
        </is>
      </c>
      <c r="B29" s="5" t="inlineStr">
        <is>
          <t>Broker</t>
        </is>
      </c>
      <c r="C29" s="4" t="inlineStr">
        <is>
          <t>Conduit Real Estate</t>
        </is>
      </c>
      <c r="D29" s="4" t="inlineStr"/>
      <c r="E29" s="4" t="inlineStr">
        <is>
          <t>balaji@conduitre.com</t>
        </is>
      </c>
      <c r="F29" s="4" t="inlineStr">
        <is>
          <t>+44 7824 528631</t>
        </is>
      </c>
      <c r="G29" s="6" t="inlineStr">
        <is>
          <t>2025-10-15</t>
        </is>
      </c>
      <c r="H29" s="6" t="inlineStr">
        <is>
          <t>2025-10-15</t>
        </is>
      </c>
      <c r="I29" s="6" t="n">
        <v>0</v>
      </c>
      <c r="J29" s="6" t="n">
        <v>0</v>
      </c>
      <c r="K29" s="8" t="inlineStr">
        <is>
          <t>Named in a thread</t>
        </is>
      </c>
      <c r="L29" s="7" t="inlineStr">
        <is>
          <t>Conduit Real Estate contact who took Project Bradley (Audley Cooper's Hill inventory loan) to REL; ConduitRE acts exclusively for Audley Group, the sponsor. Based at 13 Hanover Square, London W1S 1HN.</t>
        </is>
      </c>
    </row>
    <row r="30">
      <c r="A30" s="4" t="inlineStr">
        <is>
          <t>Jonathan Jay</t>
        </is>
      </c>
      <c r="B30" s="5" t="inlineStr">
        <is>
          <t>Broker</t>
        </is>
      </c>
      <c r="C30" s="4" t="inlineStr">
        <is>
          <t>Conduit Real Estate</t>
        </is>
      </c>
      <c r="D30" s="4" t="inlineStr"/>
      <c r="E30" s="4" t="inlineStr">
        <is>
          <t>jonathan@conduitre.com</t>
        </is>
      </c>
      <c r="F30" s="4" t="inlineStr"/>
      <c r="G30" s="6" t="inlineStr">
        <is>
          <t>2025-10-15</t>
        </is>
      </c>
      <c r="H30" s="6" t="inlineStr">
        <is>
          <t>2025-10-15</t>
        </is>
      </c>
      <c r="I30" s="6" t="n">
        <v>0</v>
      </c>
      <c r="J30" s="6" t="n">
        <v>0</v>
      </c>
      <c r="K30" s="8" t="inlineStr">
        <is>
          <t>Named in a thread</t>
        </is>
      </c>
      <c r="L30" s="7" t="inlineStr">
        <is>
          <t>Conduit Real Estate team member on Project Bradley, the Audley Cooper's Hill inventory loan; ConduitRE is mandated exclusively by Audley Group, the sponsor.</t>
        </is>
      </c>
    </row>
    <row r="31">
      <c r="A31" s="4" t="inlineStr">
        <is>
          <t>Garv Sud</t>
        </is>
      </c>
      <c r="B31" s="5" t="inlineStr">
        <is>
          <t>Broker</t>
        </is>
      </c>
      <c r="C31" s="4" t="inlineStr">
        <is>
          <t>Elixir London</t>
        </is>
      </c>
      <c r="D31" s="4" t="inlineStr"/>
      <c r="E31" s="4" t="inlineStr">
        <is>
          <t>garv@elixirlondon.co.uk</t>
        </is>
      </c>
      <c r="F31" s="4" t="inlineStr"/>
      <c r="G31" s="6" t="inlineStr">
        <is>
          <t>2025-04-07</t>
        </is>
      </c>
      <c r="H31" s="6" t="inlineStr">
        <is>
          <t>2025-06-03</t>
        </is>
      </c>
      <c r="I31" s="6" t="n">
        <v>0</v>
      </c>
      <c r="J31" s="6" t="n">
        <v>0</v>
      </c>
      <c r="K31" s="8" t="inlineStr">
        <is>
          <t>Named in a thread</t>
        </is>
      </c>
      <c r="L31" s="7" t="inlineStr">
        <is>
          <t>Introduced the Edridge Place loan.</t>
        </is>
      </c>
    </row>
    <row r="32">
      <c r="A32" s="4" t="inlineStr">
        <is>
          <t>Chris Whitney</t>
        </is>
      </c>
      <c r="B32" s="5" t="inlineStr">
        <is>
          <t>Broker</t>
        </is>
      </c>
      <c r="C32" s="4" t="inlineStr">
        <is>
          <t>Enness Global</t>
        </is>
      </c>
      <c r="D32" s="4" t="inlineStr"/>
      <c r="E32" s="4" t="inlineStr">
        <is>
          <t>chris@enness.co.uk</t>
        </is>
      </c>
      <c r="F32" s="4" t="inlineStr"/>
      <c r="G32" s="6" t="inlineStr">
        <is>
          <t>2026-01-30</t>
        </is>
      </c>
      <c r="H32" s="6" t="inlineStr">
        <is>
          <t>2026-02-02</t>
        </is>
      </c>
      <c r="I32" s="6" t="n">
        <v>0</v>
      </c>
      <c r="J32" s="6" t="n">
        <v>0</v>
      </c>
      <c r="K32" s="8" t="inlineStr">
        <is>
          <t>Named in a thread</t>
        </is>
      </c>
      <c r="L32" s="7" t="inlineStr">
        <is>
          <t>Debt broker; brought Project Atlantic to REL.</t>
        </is>
      </c>
    </row>
    <row r="33">
      <c r="A33" s="4" t="inlineStr">
        <is>
          <t>Robert Sadler</t>
        </is>
      </c>
      <c r="B33" s="5" t="inlineStr">
        <is>
          <t>Broker</t>
        </is>
      </c>
      <c r="C33" s="4" t="inlineStr">
        <is>
          <t>Excellion Capital</t>
        </is>
      </c>
      <c r="D33" s="4" t="inlineStr"/>
      <c r="E33" s="4" t="inlineStr">
        <is>
          <t>robert.sadler@excellioncapital.com</t>
        </is>
      </c>
      <c r="F33" s="4" t="inlineStr"/>
      <c r="G33" s="6" t="inlineStr">
        <is>
          <t>2025-04-08</t>
        </is>
      </c>
      <c r="H33" s="6" t="inlineStr">
        <is>
          <t>2025-04-08</t>
        </is>
      </c>
      <c r="I33" s="6" t="n">
        <v>0</v>
      </c>
      <c r="J33" s="6" t="n">
        <v>0</v>
      </c>
      <c r="K33" s="8" t="inlineStr">
        <is>
          <t>Named in a thread</t>
        </is>
      </c>
      <c r="L33" s="7" t="inlineStr">
        <is>
          <t>Excellion Capital debt advisor; brought The Whiteley to REL (Apr 2025). Appears on the deals sheet as 'Robert Sandler'.</t>
        </is>
      </c>
    </row>
    <row r="34">
      <c r="A34" s="4" t="inlineStr">
        <is>
          <t>Abilasha Ranganathappa</t>
        </is>
      </c>
      <c r="B34" s="5" t="inlineStr">
        <is>
          <t>Broker</t>
        </is>
      </c>
      <c r="C34" s="4" t="inlineStr">
        <is>
          <t>Fast Forward Capital</t>
        </is>
      </c>
      <c r="D34" s="4" t="inlineStr"/>
      <c r="E34" s="4" t="inlineStr">
        <is>
          <t>abilash@fastforwardcapital.co.uk</t>
        </is>
      </c>
      <c r="F34" s="4" t="inlineStr"/>
      <c r="G34" s="6" t="inlineStr">
        <is>
          <t>2025-10-06</t>
        </is>
      </c>
      <c r="H34" s="6" t="inlineStr">
        <is>
          <t>2025-10-07</t>
        </is>
      </c>
      <c r="I34" s="6" t="n">
        <v>0</v>
      </c>
      <c r="J34" s="6" t="n">
        <v>0</v>
      </c>
      <c r="K34" s="8" t="inlineStr">
        <is>
          <t>Named in a thread</t>
        </is>
      </c>
      <c r="L34" s="7" t="inlineStr">
        <is>
          <t>Fast Forward Capital team on the Leicester Haymarket / Humberstone Gate bridge proposal.</t>
        </is>
      </c>
    </row>
    <row r="35">
      <c r="A35" s="4" t="inlineStr">
        <is>
          <t>Darshan Daswani</t>
        </is>
      </c>
      <c r="B35" s="5" t="inlineStr">
        <is>
          <t>Broker</t>
        </is>
      </c>
      <c r="C35" s="4" t="inlineStr">
        <is>
          <t>Fast Forward Capital</t>
        </is>
      </c>
      <c r="D35" s="4" t="inlineStr"/>
      <c r="E35" s="4" t="inlineStr">
        <is>
          <t>darshan@fastforwardcapital.co.uk</t>
        </is>
      </c>
      <c r="F35" s="4" t="inlineStr"/>
      <c r="G35" s="6" t="inlineStr">
        <is>
          <t>2026-08-12</t>
        </is>
      </c>
      <c r="H35" s="6" t="inlineStr">
        <is>
          <t>2026-08-14</t>
        </is>
      </c>
      <c r="I35" s="6" t="n">
        <v>3</v>
      </c>
      <c r="J35" s="6" t="n">
        <v>0</v>
      </c>
      <c r="K35" s="4" t="inlineStr">
        <is>
          <t>Direct correspondence</t>
        </is>
      </c>
      <c r="L35" s="7" t="inlineStr">
        <is>
          <t>Brought the Quadrant Shopping Centre, Dunstable bridge (£6.8m at 80% LTV); his fee sits inside REL’s term sheet. Named on the deals sheet since 2025 — first direct email 12/08.</t>
        </is>
      </c>
    </row>
    <row r="36">
      <c r="A36" s="4" t="inlineStr">
        <is>
          <t>Tahir</t>
        </is>
      </c>
      <c r="B36" s="5" t="inlineStr">
        <is>
          <t>Broker</t>
        </is>
      </c>
      <c r="C36" s="4" t="inlineStr">
        <is>
          <t>Fast Forward Capital</t>
        </is>
      </c>
      <c r="D36" s="4" t="inlineStr"/>
      <c r="E36" s="4" t="inlineStr">
        <is>
          <t>tahir@fastforwardcapital.co.uk</t>
        </is>
      </c>
      <c r="F36" s="4" t="inlineStr"/>
      <c r="G36" s="6" t="inlineStr">
        <is>
          <t>2026-08-12</t>
        </is>
      </c>
      <c r="H36" s="6" t="inlineStr">
        <is>
          <t>2026-08-14</t>
        </is>
      </c>
      <c r="I36" s="6" t="n">
        <v>0</v>
      </c>
      <c r="J36" s="6" t="n">
        <v>0</v>
      </c>
      <c r="K36" s="8" t="inlineStr">
        <is>
          <t>Named in a thread</t>
        </is>
      </c>
      <c r="L36" s="7" t="inlineStr">
        <is>
          <t>Colleague of Darshan Daswani, cc’d on the Quadrant Dunstable bridge.</t>
        </is>
      </c>
    </row>
    <row r="37">
      <c r="A37" s="4" t="inlineStr">
        <is>
          <t>Imran Raja</t>
        </is>
      </c>
      <c r="B37" s="5" t="inlineStr">
        <is>
          <t>Broker</t>
        </is>
      </c>
      <c r="C37" s="4" t="inlineStr">
        <is>
          <t>First Wealth Management</t>
        </is>
      </c>
      <c r="D37" s="4" t="inlineStr">
        <is>
          <t>Commercial Finance Specialist</t>
        </is>
      </c>
      <c r="E37" s="4" t="inlineStr">
        <is>
          <t>imran@firstwml.com</t>
        </is>
      </c>
      <c r="F37" s="4" t="inlineStr">
        <is>
          <t>07900 493 468</t>
        </is>
      </c>
      <c r="G37" s="6" t="inlineStr">
        <is>
          <t>2025-10-07</t>
        </is>
      </c>
      <c r="H37" s="6" t="inlineStr">
        <is>
          <t>2025-10-07</t>
        </is>
      </c>
      <c r="I37" s="6" t="n">
        <v>1</v>
      </c>
      <c r="J37" s="6" t="n">
        <v>0</v>
      </c>
      <c r="K37" s="4" t="inlineStr">
        <is>
          <t>Direct correspondence</t>
        </is>
      </c>
      <c r="L37" s="7" t="inlineStr">
        <is>
          <t>First Wealth Management colleague of Jay Bhogal; Kettering enquiry.</t>
        </is>
      </c>
    </row>
    <row r="38">
      <c r="A38" s="4" t="inlineStr">
        <is>
          <t>Jay Bhogal</t>
        </is>
      </c>
      <c r="B38" s="5" t="inlineStr">
        <is>
          <t>Broker</t>
        </is>
      </c>
      <c r="C38" s="4" t="inlineStr">
        <is>
          <t>First Wealth Management</t>
        </is>
      </c>
      <c r="D38" s="4" t="inlineStr">
        <is>
          <t>Real Estate Funding Specialist</t>
        </is>
      </c>
      <c r="E38" s="4" t="inlineStr">
        <is>
          <t>jay@firstwml.com</t>
        </is>
      </c>
      <c r="F38" s="4" t="inlineStr">
        <is>
          <t>07912 262 511, 0207 486 0405</t>
        </is>
      </c>
      <c r="G38" s="6" t="inlineStr">
        <is>
          <t>2025-06-03</t>
        </is>
      </c>
      <c r="H38" s="6" t="inlineStr">
        <is>
          <t>2026-07-23</t>
        </is>
      </c>
      <c r="I38" s="6" t="n">
        <v>2</v>
      </c>
      <c r="J38" s="6" t="n">
        <v>0</v>
      </c>
      <c r="K38" s="4" t="inlineStr">
        <is>
          <t>Direct correspondence</t>
        </is>
      </c>
      <c r="L38" s="7" t="inlineStr">
        <is>
          <t>Regular introducer - Sheffield City Centre bridge, 1 Farringdon Street, One Croydon and a 3-asset hotel refinance.</t>
        </is>
      </c>
    </row>
    <row r="39">
      <c r="A39" s="4" t="inlineStr">
        <is>
          <t>Tom Goldsmith</t>
        </is>
      </c>
      <c r="B39" s="5" t="inlineStr">
        <is>
          <t>Broker</t>
        </is>
      </c>
      <c r="C39" s="4" t="inlineStr">
        <is>
          <t>FRP Advisory</t>
        </is>
      </c>
      <c r="D39" s="4" t="inlineStr"/>
      <c r="E39" s="4" t="inlineStr">
        <is>
          <t>tom.goldsmith@frpadvisory.com</t>
        </is>
      </c>
      <c r="F39" s="4" t="inlineStr"/>
      <c r="G39" s="6" t="inlineStr">
        <is>
          <t>2026-06-19</t>
        </is>
      </c>
      <c r="H39" s="6" t="inlineStr">
        <is>
          <t>2026-06-19</t>
        </is>
      </c>
      <c r="I39" s="6" t="n">
        <v>0</v>
      </c>
      <c r="J39" s="6" t="n">
        <v>0</v>
      </c>
      <c r="K39" s="8" t="inlineStr">
        <is>
          <t>Named in a thread</t>
        </is>
      </c>
      <c r="L39" s="7" t="inlineStr">
        <is>
          <t>FRP debt advisory; introduced the Chivenor Park, Barnstaple holiday park bridge. Previously at Arc &amp; Co.</t>
        </is>
      </c>
    </row>
    <row r="40">
      <c r="A40" s="4" t="inlineStr">
        <is>
          <t>Tom Savill</t>
        </is>
      </c>
      <c r="B40" s="5" t="inlineStr">
        <is>
          <t>Broker</t>
        </is>
      </c>
      <c r="C40" s="4" t="inlineStr">
        <is>
          <t>FRP Advisory</t>
        </is>
      </c>
      <c r="D40" s="4" t="inlineStr"/>
      <c r="E40" s="4" t="inlineStr">
        <is>
          <t>tom.savill@frpadvisory.com</t>
        </is>
      </c>
      <c r="F40" s="4" t="inlineStr"/>
      <c r="G40" s="6" t="inlineStr">
        <is>
          <t>2026-07-24</t>
        </is>
      </c>
      <c r="H40" s="6" t="inlineStr">
        <is>
          <t>2026-07-24</t>
        </is>
      </c>
      <c r="I40" s="6" t="n">
        <v>0</v>
      </c>
      <c r="J40" s="6" t="n">
        <v>0</v>
      </c>
      <c r="K40" s="8" t="inlineStr">
        <is>
          <t>Named in a thread</t>
        </is>
      </c>
      <c r="L40" s="7" t="inlineStr">
        <is>
          <t>FRP debt advisory - introduced The Store Room, Solihull bridge enquiry (£10.2m indicative terms issued).</t>
        </is>
      </c>
    </row>
    <row r="41">
      <c r="A41" s="4" t="inlineStr">
        <is>
          <t>Ramiah</t>
        </is>
      </c>
      <c r="B41" s="5" t="inlineStr">
        <is>
          <t>Broker</t>
        </is>
      </c>
      <c r="C41" s="4" t="inlineStr">
        <is>
          <t>Gemdar Ltd</t>
        </is>
      </c>
      <c r="D41" s="4" t="inlineStr"/>
      <c r="E41" s="4" t="inlineStr">
        <is>
          <t>info@gemdarltd.online</t>
        </is>
      </c>
      <c r="F41" s="4" t="inlineStr"/>
      <c r="G41" s="6" t="inlineStr">
        <is>
          <t>2026-09-03</t>
        </is>
      </c>
      <c r="H41" s="6" t="inlineStr">
        <is>
          <t>2026-09-03</t>
        </is>
      </c>
      <c r="I41" s="6" t="n">
        <v>2</v>
      </c>
      <c r="J41" s="6" t="n">
        <v>0</v>
      </c>
      <c r="K41" s="4" t="inlineStr">
        <is>
          <t>Direct correspondence</t>
        </is>
      </c>
      <c r="L41" s="7" t="inlineStr">
        <is>
          <t>Second-charge £5m enquiry over DSH Southampton and Whitsand Bay Fort; client declined REL’s wholeloan alternative. Shared info@ mailbox but Ramiah replies from it personally.</t>
        </is>
      </c>
    </row>
    <row r="42">
      <c r="A42" s="4" t="inlineStr">
        <is>
          <t>Emma Solazzo</t>
        </is>
      </c>
      <c r="B42" s="5" t="inlineStr">
        <is>
          <t>Broker</t>
        </is>
      </c>
      <c r="C42" s="4" t="inlineStr">
        <is>
          <t>GLPG</t>
        </is>
      </c>
      <c r="D42" s="4" t="inlineStr">
        <is>
          <t>Capital Advisory</t>
        </is>
      </c>
      <c r="E42" s="4" t="inlineStr">
        <is>
          <t>emma.solazzo@glpg.co.uk</t>
        </is>
      </c>
      <c r="F42" s="4" t="inlineStr"/>
      <c r="G42" s="6" t="inlineStr">
        <is>
          <t>2026-07-01</t>
        </is>
      </c>
      <c r="H42" s="6" t="inlineStr">
        <is>
          <t>2026-09-08</t>
        </is>
      </c>
      <c r="I42" s="6" t="n">
        <v>1</v>
      </c>
      <c r="J42" s="6" t="n">
        <v>0</v>
      </c>
      <c r="K42" s="4" t="inlineStr">
        <is>
          <t>Direct correspondence</t>
        </is>
      </c>
      <c r="L42" s="7" t="inlineStr">
        <is>
          <t>Works with Nick Swerner in GLPG Capital Advisory; negotiated the OakNorth/REL Dulwich terms.</t>
        </is>
      </c>
    </row>
    <row r="43">
      <c r="A43" s="4" t="inlineStr">
        <is>
          <t>GLPG Capital Advisory</t>
        </is>
      </c>
      <c r="B43" s="5" t="inlineStr">
        <is>
          <t>Broker</t>
        </is>
      </c>
      <c r="C43" s="4" t="inlineStr">
        <is>
          <t>GLPG</t>
        </is>
      </c>
      <c r="D43" s="4" t="inlineStr"/>
      <c r="E43" s="4" t="inlineStr">
        <is>
          <t>capital@glpg.co.uk</t>
        </is>
      </c>
      <c r="F43" s="4" t="inlineStr"/>
      <c r="G43" s="6" t="inlineStr">
        <is>
          <t>2026-07-09</t>
        </is>
      </c>
      <c r="H43" s="6" t="inlineStr">
        <is>
          <t>2026-07-09</t>
        </is>
      </c>
      <c r="I43" s="6" t="n">
        <v>0</v>
      </c>
      <c r="J43" s="6" t="n">
        <v>0</v>
      </c>
      <c r="K43" s="8" t="inlineStr">
        <is>
          <t>Named in a thread</t>
        </is>
      </c>
      <c r="L43" s="7" t="inlineStr">
        <is>
          <t>GLPG Capital Advisory shared team mailbox.</t>
        </is>
      </c>
    </row>
    <row r="44">
      <c r="A44" s="4" t="inlineStr">
        <is>
          <t>Johnny Grassick</t>
        </is>
      </c>
      <c r="B44" s="5" t="inlineStr">
        <is>
          <t>Broker</t>
        </is>
      </c>
      <c r="C44" s="4" t="inlineStr">
        <is>
          <t>GLPG</t>
        </is>
      </c>
      <c r="D44" s="4" t="inlineStr"/>
      <c r="E44" s="4" t="inlineStr">
        <is>
          <t>johnny.grassick@glpg.co.uk</t>
        </is>
      </c>
      <c r="F44" s="4" t="inlineStr"/>
      <c r="G44" s="6" t="inlineStr">
        <is>
          <t>2026-07-16</t>
        </is>
      </c>
      <c r="H44" s="6" t="inlineStr">
        <is>
          <t>2026-08-19</t>
        </is>
      </c>
      <c r="I44" s="6" t="n">
        <v>0</v>
      </c>
      <c r="J44" s="6" t="n">
        <v>0</v>
      </c>
      <c r="K44" s="8" t="inlineStr">
        <is>
          <t>Named in a thread</t>
        </is>
      </c>
      <c r="L44" s="7" t="inlineStr">
        <is>
          <t>GLPG capital advisory contact on the Cresswick Dulwich financing.</t>
        </is>
      </c>
    </row>
    <row r="45">
      <c r="A45" s="4" t="inlineStr">
        <is>
          <t>Nick Swerner</t>
        </is>
      </c>
      <c r="B45" s="5" t="inlineStr">
        <is>
          <t>Broker</t>
        </is>
      </c>
      <c r="C45" s="4" t="inlineStr">
        <is>
          <t>GLPG</t>
        </is>
      </c>
      <c r="D45" s="4" t="inlineStr">
        <is>
          <t>Director</t>
        </is>
      </c>
      <c r="E45" s="4" t="inlineStr">
        <is>
          <t>nick.swerner@glpg.co.uk</t>
        </is>
      </c>
      <c r="F45" s="4" t="inlineStr">
        <is>
          <t>0203 089 0695, 07966 487 790</t>
        </is>
      </c>
      <c r="G45" s="6" t="inlineStr">
        <is>
          <t>2026-06-24</t>
        </is>
      </c>
      <c r="H45" s="6" t="inlineStr">
        <is>
          <t>2026-09-10</t>
        </is>
      </c>
      <c r="I45" s="6" t="n">
        <v>7</v>
      </c>
      <c r="J45" s="6" t="n">
        <v>0</v>
      </c>
      <c r="K45" s="4" t="inlineStr">
        <is>
          <t>Direct correspondence</t>
        </is>
      </c>
      <c r="L45" s="7" t="inlineStr">
        <is>
          <t>Debt advisor on the Cresswick Dulwich deal with OakNorth, and on Housing First Group.</t>
        </is>
      </c>
    </row>
    <row r="46">
      <c r="A46" s="4" t="inlineStr">
        <is>
          <t>Anthony</t>
        </is>
      </c>
      <c r="B46" s="5" t="inlineStr">
        <is>
          <t>Broker</t>
        </is>
      </c>
      <c r="C46" s="4" t="inlineStr">
        <is>
          <t>Greengate LLP</t>
        </is>
      </c>
      <c r="D46" s="4" t="inlineStr"/>
      <c r="E46" s="4" t="inlineStr">
        <is>
          <t>anthony@greengatellp.com</t>
        </is>
      </c>
      <c r="F46" s="4" t="inlineStr"/>
      <c r="G46" s="6" t="inlineStr">
        <is>
          <t>2026-08-19</t>
        </is>
      </c>
      <c r="H46" s="6" t="inlineStr">
        <is>
          <t>2026-09-10</t>
        </is>
      </c>
      <c r="I46" s="6" t="n">
        <v>0</v>
      </c>
      <c r="J46" s="6" t="n">
        <v>0</v>
      </c>
      <c r="K46" s="8" t="inlineStr">
        <is>
          <t>Named in a thread</t>
        </is>
      </c>
      <c r="L46" s="7" t="inlineStr">
        <is>
          <t>Nick Swerner asked for him on the Housing First Group borrower call, listing them together — so probably GLPG-side, but the link between glpg.co.uk and Greengate LLP is inferred, not confirmed. Worth a check.</t>
        </is>
      </c>
    </row>
    <row r="47">
      <c r="A47" s="4" t="inlineStr">
        <is>
          <t>Nick Jones</t>
        </is>
      </c>
      <c r="B47" s="5" t="inlineStr">
        <is>
          <t>Broker</t>
        </is>
      </c>
      <c r="C47" s="4" t="inlineStr">
        <is>
          <t>GSB Global</t>
        </is>
      </c>
      <c r="D47" s="4" t="inlineStr"/>
      <c r="E47" s="4" t="inlineStr">
        <is>
          <t>nick.jones@gsbglobal.com</t>
        </is>
      </c>
      <c r="F47" s="4" t="inlineStr"/>
      <c r="G47" s="6" t="inlineStr">
        <is>
          <t>2025-06-03</t>
        </is>
      </c>
      <c r="H47" s="6" t="inlineStr">
        <is>
          <t>2025-06-03</t>
        </is>
      </c>
      <c r="I47" s="6" t="n">
        <v>0</v>
      </c>
      <c r="J47" s="6" t="n">
        <v>0</v>
      </c>
      <c r="K47" s="8" t="inlineStr">
        <is>
          <t>Named in a thread</t>
        </is>
      </c>
      <c r="L47" s="7" t="inlineStr">
        <is>
          <t>Origin of a GSB bridging enquiry forwarded to REL</t>
        </is>
      </c>
    </row>
    <row r="48">
      <c r="A48" s="4" t="inlineStr">
        <is>
          <t>James Daniels</t>
        </is>
      </c>
      <c r="B48" s="5" t="inlineStr">
        <is>
          <t>Broker</t>
        </is>
      </c>
      <c r="C48" s="4" t="inlineStr">
        <is>
          <t>Hallcroft Finance</t>
        </is>
      </c>
      <c r="D48" s="4" t="inlineStr"/>
      <c r="E48" s="4" t="inlineStr">
        <is>
          <t>james@hallcroftfinance.co.uk</t>
        </is>
      </c>
      <c r="F48" s="4" t="inlineStr"/>
      <c r="G48" s="6" t="inlineStr">
        <is>
          <t>2025-07-23</t>
        </is>
      </c>
      <c r="H48" s="6" t="inlineStr">
        <is>
          <t>2025-07-23</t>
        </is>
      </c>
      <c r="I48" s="6" t="n">
        <v>0</v>
      </c>
      <c r="J48" s="6" t="n">
        <v>0</v>
      </c>
      <c r="K48" s="8" t="inlineStr">
        <is>
          <t>Named in a thread</t>
        </is>
      </c>
      <c r="L48" s="7" t="inlineStr">
        <is>
          <t>Presented a developer exit on The Courtyard, West Street, Farnham</t>
        </is>
      </c>
    </row>
    <row r="49">
      <c r="A49" s="4" t="inlineStr">
        <is>
          <t>Imad Fathallah</t>
        </is>
      </c>
      <c r="B49" s="5" t="inlineStr">
        <is>
          <t>Broker</t>
        </is>
      </c>
      <c r="C49" s="4" t="inlineStr">
        <is>
          <t>IMF Finance</t>
        </is>
      </c>
      <c r="D49" s="4" t="inlineStr"/>
      <c r="E49" s="4" t="inlineStr">
        <is>
          <t>imad@imffinance.com</t>
        </is>
      </c>
      <c r="F49" s="4" t="inlineStr">
        <is>
          <t>+44 7798 530234</t>
        </is>
      </c>
      <c r="G49" s="6" t="inlineStr">
        <is>
          <t>2026-02-11</t>
        </is>
      </c>
      <c r="H49" s="6" t="inlineStr">
        <is>
          <t>2026-08-19</t>
        </is>
      </c>
      <c r="I49" s="6" t="n">
        <v>1</v>
      </c>
      <c r="J49" s="6" t="n">
        <v>0</v>
      </c>
      <c r="K49" s="4" t="inlineStr">
        <is>
          <t>Direct correspondence</t>
        </is>
      </c>
      <c r="L49" s="7" t="inlineStr">
        <is>
          <t>Circulated a loan request secured on ultra-prime collateral</t>
        </is>
      </c>
    </row>
    <row r="50">
      <c r="A50" s="4" t="inlineStr">
        <is>
          <t>Lee Neenan</t>
        </is>
      </c>
      <c r="B50" s="5" t="inlineStr">
        <is>
          <t>Broker</t>
        </is>
      </c>
      <c r="C50" s="4" t="inlineStr">
        <is>
          <t>Irwell Property Finance</t>
        </is>
      </c>
      <c r="D50" s="4" t="inlineStr"/>
      <c r="E50" s="4" t="inlineStr">
        <is>
          <t>lee@irwellpropertyfinance.co.uk</t>
        </is>
      </c>
      <c r="F50" s="4" t="inlineStr">
        <is>
          <t>07854 455559, 0161 537 7099</t>
        </is>
      </c>
      <c r="G50" s="6" t="inlineStr">
        <is>
          <t>2026-07-14</t>
        </is>
      </c>
      <c r="H50" s="6" t="inlineStr">
        <is>
          <t>2026-07-21</t>
        </is>
      </c>
      <c r="I50" s="6" t="n">
        <v>5</v>
      </c>
      <c r="J50" s="6" t="n">
        <v>0</v>
      </c>
      <c r="K50" s="4" t="inlineStr">
        <is>
          <t>Direct correspondence</t>
        </is>
      </c>
      <c r="L50" s="7" t="inlineStr">
        <is>
          <t>Manchester-based introducer; brought Rutland Gate and new enquiries, charges a 1% broker fee</t>
        </is>
      </c>
    </row>
    <row r="51">
      <c r="A51" s="4" t="inlineStr">
        <is>
          <t>Adrian Dowdle</t>
        </is>
      </c>
      <c r="B51" s="5" t="inlineStr">
        <is>
          <t>Broker</t>
        </is>
      </c>
      <c r="C51" s="4" t="inlineStr">
        <is>
          <t>Karis Capital</t>
        </is>
      </c>
      <c r="D51" s="4" t="inlineStr"/>
      <c r="E51" s="4" t="inlineStr">
        <is>
          <t>adrian.dowdle@kariscapital.co.uk</t>
        </is>
      </c>
      <c r="F51" s="4" t="inlineStr"/>
      <c r="G51" s="6" t="inlineStr">
        <is>
          <t>2025-06-03</t>
        </is>
      </c>
      <c r="H51" s="6" t="inlineStr">
        <is>
          <t>2025-06-03</t>
        </is>
      </c>
      <c r="I51" s="6" t="n">
        <v>0</v>
      </c>
      <c r="J51" s="6" t="n">
        <v>0</v>
      </c>
      <c r="K51" s="8" t="inlineStr">
        <is>
          <t>Named in a thread</t>
        </is>
      </c>
      <c r="L51" s="7" t="inlineStr">
        <is>
          <t>Karis Capital contact on the Milton Keynes enquiry</t>
        </is>
      </c>
    </row>
    <row r="52">
      <c r="A52" s="4" t="inlineStr">
        <is>
          <t>Nicholas Christofi</t>
        </is>
      </c>
      <c r="B52" s="5" t="inlineStr">
        <is>
          <t>Broker</t>
        </is>
      </c>
      <c r="C52" s="4" t="inlineStr">
        <is>
          <t>Karis Capital</t>
        </is>
      </c>
      <c r="D52" s="4" t="inlineStr"/>
      <c r="E52" s="4" t="inlineStr">
        <is>
          <t>nicholas.christofi@kariscapital.co.uk</t>
        </is>
      </c>
      <c r="F52" s="4" t="inlineStr"/>
      <c r="G52" s="6" t="inlineStr">
        <is>
          <t>2025-06-03</t>
        </is>
      </c>
      <c r="H52" s="6" t="inlineStr">
        <is>
          <t>2025-06-03</t>
        </is>
      </c>
      <c r="I52" s="6" t="n">
        <v>0</v>
      </c>
      <c r="J52" s="6" t="n">
        <v>0</v>
      </c>
      <c r="K52" s="8" t="inlineStr">
        <is>
          <t>Named in a thread</t>
        </is>
      </c>
      <c r="L52" s="7" t="inlineStr">
        <is>
          <t>Karis Capital contact on the Milton Keynes enquiry</t>
        </is>
      </c>
    </row>
    <row r="53">
      <c r="A53" s="4" t="inlineStr">
        <is>
          <t>Hugo Denée</t>
        </is>
      </c>
      <c r="B53" s="5" t="inlineStr">
        <is>
          <t>Broker</t>
        </is>
      </c>
      <c r="C53" s="4" t="inlineStr">
        <is>
          <t>Longstock Capital</t>
        </is>
      </c>
      <c r="D53" s="4" t="inlineStr"/>
      <c r="E53" s="4" t="inlineStr">
        <is>
          <t>hugo@longstockcapital.com</t>
        </is>
      </c>
      <c r="F53" s="4" t="inlineStr"/>
      <c r="G53" s="6" t="inlineStr">
        <is>
          <t>2026-08-13</t>
        </is>
      </c>
      <c r="H53" s="6" t="inlineStr">
        <is>
          <t>2026-08-13</t>
        </is>
      </c>
      <c r="I53" s="6" t="n">
        <v>0</v>
      </c>
      <c r="J53" s="6" t="n">
        <v>0</v>
      </c>
      <c r="K53" s="8" t="inlineStr">
        <is>
          <t>Named in a thread</t>
        </is>
      </c>
      <c r="L53" s="7" t="inlineStr">
        <is>
          <t>Colleague of Tristan de Souza; first point of contact for Henry Hales.</t>
        </is>
      </c>
    </row>
    <row r="54">
      <c r="A54" s="4" t="inlineStr">
        <is>
          <t>Tristan de Souza</t>
        </is>
      </c>
      <c r="B54" s="5" t="inlineStr">
        <is>
          <t>Broker</t>
        </is>
      </c>
      <c r="C54" s="4" t="inlineStr">
        <is>
          <t>Longstock Capital</t>
        </is>
      </c>
      <c r="D54" s="4" t="inlineStr">
        <is>
          <t>Partner</t>
        </is>
      </c>
      <c r="E54" s="4" t="inlineStr">
        <is>
          <t>tristan@longstockcapital.com</t>
        </is>
      </c>
      <c r="F54" s="4" t="inlineStr">
        <is>
          <t>+44 7983 527435</t>
        </is>
      </c>
      <c r="G54" s="6" t="inlineStr">
        <is>
          <t>2026-09-04</t>
        </is>
      </c>
      <c r="H54" s="6" t="inlineStr">
        <is>
          <t>2026-09-04</t>
        </is>
      </c>
      <c r="I54" s="6" t="n">
        <v>0</v>
      </c>
      <c r="J54" s="6" t="n">
        <v>0</v>
      </c>
      <c r="K54" s="8" t="inlineStr">
        <is>
          <t>Named in a thread</t>
        </is>
      </c>
      <c r="L54" s="7" t="inlineStr">
        <is>
          <t>Introduced Henry Hales of SIRPLUS to REL on the HF Hales and Sons share buy-out, 04/09. Kensington-based debt advisory.</t>
        </is>
      </c>
    </row>
    <row r="55">
      <c r="A55" s="4" t="inlineStr">
        <is>
          <t>Jason Green</t>
        </is>
      </c>
      <c r="B55" s="5" t="inlineStr">
        <is>
          <t>Broker</t>
        </is>
      </c>
      <c r="C55" s="4" t="inlineStr">
        <is>
          <t>LS Capital Advisors</t>
        </is>
      </c>
      <c r="D55" s="4" t="inlineStr"/>
      <c r="E55" s="4" t="inlineStr">
        <is>
          <t>jasongreen@lscapitaladvisors.com</t>
        </is>
      </c>
      <c r="F55" s="4" t="inlineStr"/>
      <c r="G55" s="6" t="inlineStr">
        <is>
          <t>2026-08-26</t>
        </is>
      </c>
      <c r="H55" s="6" t="inlineStr">
        <is>
          <t>2026-09-14</t>
        </is>
      </c>
      <c r="I55" s="6" t="n">
        <v>3</v>
      </c>
      <c r="J55" s="6" t="n">
        <v>0</v>
      </c>
      <c r="K55" s="4" t="inlineStr">
        <is>
          <t>Direct correspondence</t>
        </is>
      </c>
      <c r="L55" s="7" t="inlineStr">
        <is>
          <t>Thorpe End land loan — REL issued terms at £1.75m / 50% LTV, 28/08. Named in forwarded threads since 2025; first address captured now.</t>
        </is>
      </c>
    </row>
    <row r="56">
      <c r="A56" s="4" t="inlineStr">
        <is>
          <t>Nirav Patel</t>
        </is>
      </c>
      <c r="B56" s="5" t="inlineStr">
        <is>
          <t>Broker</t>
        </is>
      </c>
      <c r="C56" s="4" t="inlineStr">
        <is>
          <t>Mantra Commercial</t>
        </is>
      </c>
      <c r="D56" s="4" t="inlineStr">
        <is>
          <t>Associate Director</t>
        </is>
      </c>
      <c r="E56" s="4" t="inlineStr">
        <is>
          <t>nirav@mantracommercial.com</t>
        </is>
      </c>
      <c r="F56" s="4" t="inlineStr">
        <is>
          <t>020 3696 2380, 07851 245338</t>
        </is>
      </c>
      <c r="G56" s="6" t="inlineStr">
        <is>
          <t>2025-05-13</t>
        </is>
      </c>
      <c r="H56" s="6" t="inlineStr">
        <is>
          <t>2026-09-12</t>
        </is>
      </c>
      <c r="I56" s="6" t="n">
        <v>6</v>
      </c>
      <c r="J56" s="6" t="n">
        <v>0</v>
      </c>
      <c r="K56" s="4" t="inlineStr">
        <is>
          <t>Direct correspondence</t>
        </is>
      </c>
      <c r="L56" s="7" t="inlineStr">
        <is>
          <t>Introduced 77 and 87-89 Walton Street £9m request and The Stroud Hotel</t>
        </is>
      </c>
    </row>
    <row r="57">
      <c r="A57" s="4" t="inlineStr">
        <is>
          <t>Rickesh Patel</t>
        </is>
      </c>
      <c r="B57" s="5" t="inlineStr">
        <is>
          <t>Broker</t>
        </is>
      </c>
      <c r="C57" s="4" t="inlineStr">
        <is>
          <t>Mantra Commercial</t>
        </is>
      </c>
      <c r="D57" s="4" t="inlineStr"/>
      <c r="E57" s="4" t="inlineStr">
        <is>
          <t>rickesh@mantracommercial.com</t>
        </is>
      </c>
      <c r="F57" s="4" t="inlineStr"/>
      <c r="G57" s="6" t="inlineStr">
        <is>
          <t>2025-05-13</t>
        </is>
      </c>
      <c r="H57" s="6" t="inlineStr">
        <is>
          <t>2026-09-12</t>
        </is>
      </c>
      <c r="I57" s="6" t="n">
        <v>1</v>
      </c>
      <c r="J57" s="6" t="n">
        <v>0</v>
      </c>
      <c r="K57" s="4" t="inlineStr">
        <is>
          <t>Direct correspondence</t>
        </is>
      </c>
      <c r="L57" s="7" t="inlineStr">
        <is>
          <t>Main Mantra contact - Kamco £22.5m, Walton Street £9m, The Stroud Hotel</t>
        </is>
      </c>
    </row>
    <row r="58">
      <c r="A58" s="4" t="inlineStr">
        <is>
          <t>Sachin</t>
        </is>
      </c>
      <c r="B58" s="5" t="inlineStr">
        <is>
          <t>Broker</t>
        </is>
      </c>
      <c r="C58" s="4" t="inlineStr">
        <is>
          <t>Mantra Commercial</t>
        </is>
      </c>
      <c r="D58" s="4" t="inlineStr"/>
      <c r="E58" s="4" t="inlineStr">
        <is>
          <t>sachin@mantracommercial.com</t>
        </is>
      </c>
      <c r="F58" s="4" t="inlineStr"/>
      <c r="G58" s="6" t="inlineStr">
        <is>
          <t>2026-09-04</t>
        </is>
      </c>
      <c r="H58" s="6" t="inlineStr">
        <is>
          <t>2026-09-04</t>
        </is>
      </c>
      <c r="I58" s="6" t="n">
        <v>0</v>
      </c>
      <c r="J58" s="6" t="n">
        <v>0</v>
      </c>
      <c r="K58" s="8" t="inlineStr">
        <is>
          <t>Named in a thread</t>
        </is>
      </c>
      <c r="L58" s="7" t="inlineStr">
        <is>
          <t>On the 2x bridging requests Zahra brought; REL passed on regional assets.</t>
        </is>
      </c>
    </row>
    <row r="59">
      <c r="A59" s="4" t="inlineStr">
        <is>
          <t>Tarun Patel</t>
        </is>
      </c>
      <c r="B59" s="5" t="inlineStr">
        <is>
          <t>Broker</t>
        </is>
      </c>
      <c r="C59" s="4" t="inlineStr">
        <is>
          <t>Mantra Commercial</t>
        </is>
      </c>
      <c r="D59" s="4" t="inlineStr"/>
      <c r="E59" s="4" t="inlineStr">
        <is>
          <t>tarun@mantracommercial.com</t>
        </is>
      </c>
      <c r="F59" s="4" t="inlineStr"/>
      <c r="G59" s="6" t="inlineStr">
        <is>
          <t>2026-09-09</t>
        </is>
      </c>
      <c r="H59" s="6" t="inlineStr">
        <is>
          <t>2026-09-09</t>
        </is>
      </c>
      <c r="I59" s="6" t="n">
        <v>0</v>
      </c>
      <c r="J59" s="6" t="n">
        <v>0</v>
      </c>
      <c r="K59" s="8" t="inlineStr">
        <is>
          <t>Named in a thread</t>
        </is>
      </c>
      <c r="L59" s="7" t="inlineStr">
        <is>
          <t>Brought a £6.13m net commercial bridge request, 09/09.</t>
        </is>
      </c>
    </row>
    <row r="60">
      <c r="A60" s="4" t="inlineStr">
        <is>
          <t>Zahra</t>
        </is>
      </c>
      <c r="B60" s="5" t="inlineStr">
        <is>
          <t>Broker</t>
        </is>
      </c>
      <c r="C60" s="4" t="inlineStr">
        <is>
          <t>Mantra Commercial</t>
        </is>
      </c>
      <c r="D60" s="4" t="inlineStr"/>
      <c r="E60" s="4" t="inlineStr">
        <is>
          <t>zahra@mantracommercial.com</t>
        </is>
      </c>
      <c r="F60" s="4" t="inlineStr"/>
      <c r="G60" s="6" t="inlineStr">
        <is>
          <t>2026-02-04</t>
        </is>
      </c>
      <c r="H60" s="6" t="inlineStr">
        <is>
          <t>2026-09-04</t>
        </is>
      </c>
      <c r="I60" s="6" t="n">
        <v>0</v>
      </c>
      <c r="J60" s="6" t="n">
        <v>0</v>
      </c>
      <c r="K60" s="8" t="inlineStr">
        <is>
          <t>Named in a thread</t>
        </is>
      </c>
      <c r="L60" s="7" t="inlineStr">
        <is>
          <t>On the Elixir House £5m commercial bridging facility</t>
        </is>
      </c>
    </row>
    <row r="61">
      <c r="A61" s="4" t="inlineStr">
        <is>
          <t>Nimesh Sanghrajka</t>
        </is>
      </c>
      <c r="B61" s="5" t="inlineStr">
        <is>
          <t>Broker</t>
        </is>
      </c>
      <c r="C61" s="4" t="inlineStr">
        <is>
          <t>Mantra Group</t>
        </is>
      </c>
      <c r="D61" s="4" t="inlineStr">
        <is>
          <t>Managing Director</t>
        </is>
      </c>
      <c r="E61" s="4" t="inlineStr">
        <is>
          <t>nimesh@mantra-group.com</t>
        </is>
      </c>
      <c r="F61" s="4" t="inlineStr">
        <is>
          <t>020 3696 2380, 07703 364534</t>
        </is>
      </c>
      <c r="G61" s="6" t="inlineStr">
        <is>
          <t>2025-06-03</t>
        </is>
      </c>
      <c r="H61" s="6" t="inlineStr">
        <is>
          <t>2026-09-12</t>
        </is>
      </c>
      <c r="I61" s="6" t="n">
        <v>4</v>
      </c>
      <c r="J61" s="6" t="n">
        <v>0</v>
      </c>
      <c r="K61" s="4" t="inlineStr">
        <is>
          <t>Direct correspondence</t>
        </is>
      </c>
      <c r="L61" s="7" t="inlineStr">
        <is>
          <t>Heads the Mantra debt brokerage. On the Kamco £22.5m enquiry and, with Nirav Patel, the SAL Hotels facility — pushing REL on pricing while backing REL on execution.</t>
        </is>
      </c>
    </row>
    <row r="62">
      <c r="A62" s="4" t="inlineStr">
        <is>
          <t>Lindsay Baker</t>
        </is>
      </c>
      <c r="B62" s="5" t="inlineStr">
        <is>
          <t>Broker</t>
        </is>
      </c>
      <c r="C62" s="4" t="inlineStr">
        <is>
          <t>Melbray London</t>
        </is>
      </c>
      <c r="D62" s="4" t="inlineStr"/>
      <c r="E62" s="4" t="inlineStr">
        <is>
          <t>lindsay@melbraylondon.com</t>
        </is>
      </c>
      <c r="F62" s="4" t="inlineStr">
        <is>
          <t>+44 7557 749580</t>
        </is>
      </c>
      <c r="G62" s="6" t="inlineStr">
        <is>
          <t>2026-03-11</t>
        </is>
      </c>
      <c r="H62" s="6" t="inlineStr">
        <is>
          <t>2026-03-13</t>
        </is>
      </c>
      <c r="I62" s="6" t="n">
        <v>0</v>
      </c>
      <c r="J62" s="6" t="n">
        <v>0</v>
      </c>
      <c r="K62" s="8" t="inlineStr">
        <is>
          <t>Named in a thread</t>
        </is>
      </c>
      <c r="L62" s="7" t="inlineStr">
        <is>
          <t>Finance brokerage; on the Indigo Scott Hammersmith development thread</t>
        </is>
      </c>
    </row>
    <row r="63">
      <c r="A63" s="4" t="inlineStr">
        <is>
          <t>Max Warren</t>
        </is>
      </c>
      <c r="B63" s="5" t="inlineStr">
        <is>
          <t>Broker</t>
        </is>
      </c>
      <c r="C63" s="4" t="inlineStr">
        <is>
          <t>Melbray London</t>
        </is>
      </c>
      <c r="D63" s="4" t="inlineStr"/>
      <c r="E63" s="4" t="inlineStr">
        <is>
          <t>max@melbraylondon.com</t>
        </is>
      </c>
      <c r="F63" s="4" t="inlineStr"/>
      <c r="G63" s="6" t="inlineStr">
        <is>
          <t>2026-03-11</t>
        </is>
      </c>
      <c r="H63" s="6" t="inlineStr">
        <is>
          <t>2026-06-26</t>
        </is>
      </c>
      <c r="I63" s="6" t="n">
        <v>0</v>
      </c>
      <c r="J63" s="6" t="n">
        <v>0</v>
      </c>
      <c r="K63" s="8" t="inlineStr">
        <is>
          <t>Named in a thread</t>
        </is>
      </c>
      <c r="L63" s="7" t="inlineStr">
        <is>
          <t>Founder of Melbray; brokering the Indigo Scott Hammersmith development</t>
        </is>
      </c>
    </row>
    <row r="64">
      <c r="A64" s="4" t="inlineStr">
        <is>
          <t>Simon Warren</t>
        </is>
      </c>
      <c r="B64" s="5" t="inlineStr">
        <is>
          <t>Broker</t>
        </is>
      </c>
      <c r="C64" s="4" t="inlineStr">
        <is>
          <t>Melbray London</t>
        </is>
      </c>
      <c r="D64" s="4" t="inlineStr"/>
      <c r="E64" s="4" t="inlineStr">
        <is>
          <t>simon@melbraylondon.com</t>
        </is>
      </c>
      <c r="F64" s="4" t="inlineStr"/>
      <c r="G64" s="6" t="inlineStr">
        <is>
          <t>2026-03-11</t>
        </is>
      </c>
      <c r="H64" s="6" t="inlineStr">
        <is>
          <t>2026-06-26</t>
        </is>
      </c>
      <c r="I64" s="6" t="n">
        <v>0</v>
      </c>
      <c r="J64" s="6" t="n">
        <v>0</v>
      </c>
      <c r="K64" s="8" t="inlineStr">
        <is>
          <t>Named in a thread</t>
        </is>
      </c>
      <c r="L64" s="7" t="inlineStr">
        <is>
          <t>On the Indigo Scott Hammersmith development enquiry</t>
        </is>
      </c>
    </row>
    <row r="65">
      <c r="A65" s="4" t="inlineStr">
        <is>
          <t>George Melling</t>
        </is>
      </c>
      <c r="B65" s="5" t="inlineStr">
        <is>
          <t>Broker</t>
        </is>
      </c>
      <c r="C65" s="4" t="inlineStr">
        <is>
          <t>Merry Oaks</t>
        </is>
      </c>
      <c r="D65" s="4" t="inlineStr"/>
      <c r="E65" s="4" t="inlineStr">
        <is>
          <t>george@merryoaks.com</t>
        </is>
      </c>
      <c r="F65" s="4" t="inlineStr"/>
      <c r="G65" s="6" t="inlineStr">
        <is>
          <t>2025-03-22</t>
        </is>
      </c>
      <c r="H65" s="6" t="inlineStr">
        <is>
          <t>2025-06-03</t>
        </is>
      </c>
      <c r="I65" s="6" t="n">
        <v>0</v>
      </c>
      <c r="J65" s="6" t="n">
        <v>0</v>
      </c>
      <c r="K65" s="8" t="inlineStr">
        <is>
          <t>Named in a thread</t>
        </is>
      </c>
      <c r="L65" s="7" t="inlineStr">
        <is>
          <t>Introduced High Trees, Bishops Avenue and other Camden assets</t>
        </is>
      </c>
    </row>
    <row r="66">
      <c r="A66" s="4" t="inlineStr">
        <is>
          <t>Saam Lowni</t>
        </is>
      </c>
      <c r="B66" s="5" t="inlineStr">
        <is>
          <t>Broker</t>
        </is>
      </c>
      <c r="C66" s="4" t="inlineStr">
        <is>
          <t>Merry Oaks</t>
        </is>
      </c>
      <c r="D66" s="4" t="inlineStr"/>
      <c r="E66" s="4" t="inlineStr">
        <is>
          <t>saam@merryoaks.com</t>
        </is>
      </c>
      <c r="F66" s="4" t="inlineStr">
        <is>
          <t>+44 (0) 203 797 7559, +44 (0) 749 536 2211</t>
        </is>
      </c>
      <c r="G66" s="6" t="inlineStr">
        <is>
          <t>2025-03-22</t>
        </is>
      </c>
      <c r="H66" s="6" t="inlineStr">
        <is>
          <t>2025-06-03</t>
        </is>
      </c>
      <c r="I66" s="6" t="n">
        <v>0</v>
      </c>
      <c r="J66" s="6" t="n">
        <v>0</v>
      </c>
      <c r="K66" s="8" t="inlineStr">
        <is>
          <t>Named in a thread</t>
        </is>
      </c>
      <c r="L66" s="7" t="inlineStr">
        <is>
          <t>Introduced High Trees, Bishops Avenue and other Camden assets</t>
        </is>
      </c>
    </row>
    <row r="67">
      <c r="A67" s="4" t="inlineStr">
        <is>
          <t>Keryn Thompsett</t>
        </is>
      </c>
      <c r="B67" s="5" t="inlineStr">
        <is>
          <t>Broker</t>
        </is>
      </c>
      <c r="C67" s="4" t="inlineStr">
        <is>
          <t>Moorhall Capital</t>
        </is>
      </c>
      <c r="D67" s="4" t="inlineStr"/>
      <c r="E67" s="4" t="inlineStr">
        <is>
          <t>keryn@moorhallcapital.com</t>
        </is>
      </c>
      <c r="F67" s="4" t="inlineStr"/>
      <c r="G67" s="6" t="inlineStr">
        <is>
          <t>2025-06-03</t>
        </is>
      </c>
      <c r="H67" s="6" t="inlineStr">
        <is>
          <t>2025-06-03</t>
        </is>
      </c>
      <c r="I67" s="6" t="n">
        <v>0</v>
      </c>
      <c r="J67" s="6" t="n">
        <v>0</v>
      </c>
      <c r="K67" s="8" t="inlineStr">
        <is>
          <t>Named in a thread</t>
        </is>
      </c>
      <c r="L67" s="7" t="inlineStr">
        <is>
          <t>Real estate capital advisory; annual drinks invitation</t>
        </is>
      </c>
    </row>
    <row r="68">
      <c r="A68" s="4" t="inlineStr">
        <is>
          <t>Robert Jones</t>
        </is>
      </c>
      <c r="B68" s="5" t="inlineStr">
        <is>
          <t>Broker</t>
        </is>
      </c>
      <c r="C68" s="4" t="inlineStr">
        <is>
          <t>Moorhall Capital</t>
        </is>
      </c>
      <c r="D68" s="4" t="inlineStr"/>
      <c r="E68" s="4" t="inlineStr">
        <is>
          <t>rob@moorhallcapital.com</t>
        </is>
      </c>
      <c r="F68" s="4" t="inlineStr"/>
      <c r="G68" s="6" t="inlineStr">
        <is>
          <t>2025-06-03</t>
        </is>
      </c>
      <c r="H68" s="6" t="inlineStr">
        <is>
          <t>2026-09-09</t>
        </is>
      </c>
      <c r="I68" s="6" t="n">
        <v>0</v>
      </c>
      <c r="J68" s="6" t="n">
        <v>0</v>
      </c>
      <c r="K68" s="8" t="inlineStr">
        <is>
          <t>Named in a thread</t>
        </is>
      </c>
      <c r="L68" s="7" t="inlineStr">
        <is>
          <t>Founder of Moorhall Capital, real estate debt advisory. Brought Inova Park, Leicester — £8m–£12m bridge financing opportunity, 09/09.</t>
        </is>
      </c>
    </row>
    <row r="69">
      <c r="A69" s="4" t="inlineStr">
        <is>
          <t>Tom Boize</t>
        </is>
      </c>
      <c r="B69" s="5" t="inlineStr">
        <is>
          <t>Broker</t>
        </is>
      </c>
      <c r="C69" s="4" t="inlineStr">
        <is>
          <t>Moorhall Capital</t>
        </is>
      </c>
      <c r="D69" s="4" t="inlineStr"/>
      <c r="E69" s="4" t="inlineStr">
        <is>
          <t>tom@moorhallcapital.com</t>
        </is>
      </c>
      <c r="F69" s="4" t="inlineStr"/>
      <c r="G69" s="6" t="inlineStr">
        <is>
          <t>2025-06-03</t>
        </is>
      </c>
      <c r="H69" s="6" t="inlineStr">
        <is>
          <t>2026-09-09</t>
        </is>
      </c>
      <c r="I69" s="6" t="n">
        <v>0</v>
      </c>
      <c r="J69" s="6" t="n">
        <v>0</v>
      </c>
      <c r="K69" s="8" t="inlineStr">
        <is>
          <t>Named in a thread</t>
        </is>
      </c>
      <c r="L69" s="7" t="inlineStr">
        <is>
          <t>Real estate capital advisory contact at Moorhall</t>
        </is>
      </c>
    </row>
    <row r="70">
      <c r="A70" s="4" t="inlineStr">
        <is>
          <t>Nita Thapar</t>
        </is>
      </c>
      <c r="B70" s="5" t="inlineStr">
        <is>
          <t>Broker</t>
        </is>
      </c>
      <c r="C70" s="4" t="inlineStr">
        <is>
          <t>Mortgage Masters FS</t>
        </is>
      </c>
      <c r="D70" s="4" t="inlineStr">
        <is>
          <t>Director</t>
        </is>
      </c>
      <c r="E70" s="4" t="inlineStr">
        <is>
          <t>nita@mortgagemastersfs.com</t>
        </is>
      </c>
      <c r="F70" s="4" t="inlineStr">
        <is>
          <t>07852 418266</t>
        </is>
      </c>
      <c r="G70" s="6" t="inlineStr">
        <is>
          <t>2026-09-08</t>
        </is>
      </c>
      <c r="H70" s="6" t="inlineStr">
        <is>
          <t>2026-09-10</t>
        </is>
      </c>
      <c r="I70" s="6" t="n">
        <v>0</v>
      </c>
      <c r="J70" s="6" t="n">
        <v>0</v>
      </c>
      <c r="K70" s="8" t="inlineStr">
        <is>
          <t>Named in a thread</t>
        </is>
      </c>
      <c r="L70" s="7" t="inlineStr">
        <is>
          <t>Brought the Madlani commercial warehouses and pub at 32 Featherstone Road; REL indicated £2.25m at 65% LTV across the two Madlani partnership LLPs, 10/09.</t>
        </is>
      </c>
    </row>
    <row r="71">
      <c r="A71" s="4" t="inlineStr">
        <is>
          <t>Raed Hanna</t>
        </is>
      </c>
      <c r="B71" s="5" t="inlineStr">
        <is>
          <t>Broker</t>
        </is>
      </c>
      <c r="C71" s="4" t="inlineStr">
        <is>
          <t>Mutual Finance</t>
        </is>
      </c>
      <c r="D71" s="4" t="inlineStr"/>
      <c r="E71" s="4" t="inlineStr">
        <is>
          <t>r.hanna@mutual-finance.co.uk</t>
        </is>
      </c>
      <c r="F71" s="4" t="inlineStr"/>
      <c r="G71" s="6" t="inlineStr">
        <is>
          <t>2025-06-30</t>
        </is>
      </c>
      <c r="H71" s="6" t="inlineStr">
        <is>
          <t>2025-06-30</t>
        </is>
      </c>
      <c r="I71" s="6" t="n">
        <v>0</v>
      </c>
      <c r="J71" s="6" t="n">
        <v>0</v>
      </c>
      <c r="K71" s="8" t="inlineStr">
        <is>
          <t>Named in a thread</t>
        </is>
      </c>
      <c r="L71" s="7" t="inlineStr">
        <is>
          <t>Introduced the refinance of Centenary House, Manchester</t>
        </is>
      </c>
    </row>
    <row r="72">
      <c r="A72" s="4" t="inlineStr">
        <is>
          <t>Tariq Ansari</t>
        </is>
      </c>
      <c r="B72" s="5" t="inlineStr">
        <is>
          <t>Broker</t>
        </is>
      </c>
      <c r="C72" s="4" t="inlineStr">
        <is>
          <t>Mutual Finance</t>
        </is>
      </c>
      <c r="D72" s="4" t="inlineStr"/>
      <c r="E72" s="4" t="inlineStr">
        <is>
          <t>t.ansari@mutual-finance.co.uk</t>
        </is>
      </c>
      <c r="F72" s="4" t="inlineStr"/>
      <c r="G72" s="6" t="inlineStr">
        <is>
          <t>2026-04-21</t>
        </is>
      </c>
      <c r="H72" s="6" t="inlineStr">
        <is>
          <t>2026-04-21</t>
        </is>
      </c>
      <c r="I72" s="6" t="n">
        <v>0</v>
      </c>
      <c r="J72" s="6" t="n">
        <v>0</v>
      </c>
      <c r="K72" s="8" t="inlineStr">
        <is>
          <t>Named in a thread</t>
        </is>
      </c>
      <c r="L72" s="7" t="inlineStr">
        <is>
          <t>New enquiry - refinance of two luxury houses in Wimbledon Village</t>
        </is>
      </c>
    </row>
    <row r="73">
      <c r="A73" s="4" t="inlineStr">
        <is>
          <t>Masood Rashid</t>
        </is>
      </c>
      <c r="B73" s="5" t="inlineStr">
        <is>
          <t>Broker</t>
        </is>
      </c>
      <c r="C73" s="4" t="inlineStr">
        <is>
          <t>Opes Financial Partners</t>
        </is>
      </c>
      <c r="D73" s="4" t="inlineStr"/>
      <c r="E73" s="4" t="inlineStr">
        <is>
          <t>masood.rashid@opesfp.com</t>
        </is>
      </c>
      <c r="F73" s="4" t="inlineStr"/>
      <c r="G73" s="6" t="inlineStr">
        <is>
          <t>2025-03-03</t>
        </is>
      </c>
      <c r="H73" s="6" t="inlineStr">
        <is>
          <t>2026-08-20</t>
        </is>
      </c>
      <c r="I73" s="6" t="n">
        <v>0</v>
      </c>
      <c r="J73" s="6" t="n">
        <v>0</v>
      </c>
      <c r="K73" s="8" t="inlineStr">
        <is>
          <t>Named in a thread</t>
        </is>
      </c>
      <c r="L73" s="7" t="inlineStr">
        <is>
          <t>Opes introduction of 58 Pont Street, London SW1X</t>
        </is>
      </c>
    </row>
    <row r="74">
      <c r="A74" s="4" t="inlineStr">
        <is>
          <t>Matthew Davies</t>
        </is>
      </c>
      <c r="B74" s="5" t="inlineStr">
        <is>
          <t>Broker</t>
        </is>
      </c>
      <c r="C74" s="4" t="inlineStr">
        <is>
          <t>Opes Financial Partners</t>
        </is>
      </c>
      <c r="D74" s="4" t="inlineStr"/>
      <c r="E74" s="4" t="inlineStr">
        <is>
          <t>matthew.davies@opesfp.com</t>
        </is>
      </c>
      <c r="F74" s="4" t="inlineStr"/>
      <c r="G74" s="6" t="inlineStr">
        <is>
          <t>2025-03-03</t>
        </is>
      </c>
      <c r="H74" s="6" t="inlineStr">
        <is>
          <t>2025-06-03</t>
        </is>
      </c>
      <c r="I74" s="6" t="n">
        <v>0</v>
      </c>
      <c r="J74" s="6" t="n">
        <v>0</v>
      </c>
      <c r="K74" s="8" t="inlineStr">
        <is>
          <t>Named in a thread</t>
        </is>
      </c>
      <c r="L74" s="7" t="inlineStr">
        <is>
          <t>Opes introduction of 58 Pont Street, London SW1X</t>
        </is>
      </c>
    </row>
    <row r="75">
      <c r="A75" s="4" t="inlineStr">
        <is>
          <t>Lewis</t>
        </is>
      </c>
      <c r="B75" s="5" t="inlineStr">
        <is>
          <t>Broker</t>
        </is>
      </c>
      <c r="C75" s="4" t="inlineStr">
        <is>
          <t>Pure Structured Finance</t>
        </is>
      </c>
      <c r="D75" s="4" t="inlineStr"/>
      <c r="E75" s="4" t="inlineStr">
        <is>
          <t>lewis@purestructuredfinance.co.uk</t>
        </is>
      </c>
      <c r="F75" s="4" t="inlineStr"/>
      <c r="G75" s="6" t="inlineStr">
        <is>
          <t>2026-03-27</t>
        </is>
      </c>
      <c r="H75" s="6" t="inlineStr">
        <is>
          <t>2026-03-27</t>
        </is>
      </c>
      <c r="I75" s="6" t="n">
        <v>0</v>
      </c>
      <c r="J75" s="6" t="n">
        <v>0</v>
      </c>
      <c r="K75" s="8" t="inlineStr">
        <is>
          <t>Named in a thread</t>
        </is>
      </c>
      <c r="L75" s="7" t="inlineStr">
        <is>
          <t>On the Project Nest debt raise, Elephant &amp; Castle SE1</t>
        </is>
      </c>
    </row>
    <row r="76">
      <c r="A76" s="4" t="inlineStr">
        <is>
          <t>Tom</t>
        </is>
      </c>
      <c r="B76" s="5" t="inlineStr">
        <is>
          <t>Broker</t>
        </is>
      </c>
      <c r="C76" s="4" t="inlineStr">
        <is>
          <t>Pure Structured Finance</t>
        </is>
      </c>
      <c r="D76" s="4" t="inlineStr"/>
      <c r="E76" s="4" t="inlineStr">
        <is>
          <t>tom@purestructuredfinance.co.uk</t>
        </is>
      </c>
      <c r="F76" s="4" t="inlineStr"/>
      <c r="G76" s="6" t="inlineStr">
        <is>
          <t>2026-03-27</t>
        </is>
      </c>
      <c r="H76" s="6" t="inlineStr">
        <is>
          <t>2026-03-27</t>
        </is>
      </c>
      <c r="I76" s="6" t="n">
        <v>0</v>
      </c>
      <c r="J76" s="6" t="n">
        <v>0</v>
      </c>
      <c r="K76" s="8" t="inlineStr">
        <is>
          <t>Named in a thread</t>
        </is>
      </c>
      <c r="L76" s="7" t="inlineStr">
        <is>
          <t>On the Project Nest debt raise, Elephant &amp; Castle SE1</t>
        </is>
      </c>
    </row>
    <row r="77">
      <c r="A77" s="4" t="inlineStr">
        <is>
          <t>Dan Tisdall</t>
        </is>
      </c>
      <c r="B77" s="5" t="inlineStr">
        <is>
          <t>Broker</t>
        </is>
      </c>
      <c r="C77" s="4" t="inlineStr">
        <is>
          <t>Quanta Investment</t>
        </is>
      </c>
      <c r="D77" s="4" t="inlineStr"/>
      <c r="E77" s="4" t="inlineStr">
        <is>
          <t>dan@quanta-investment.com</t>
        </is>
      </c>
      <c r="F77" s="4" t="inlineStr"/>
      <c r="G77" s="6" t="inlineStr">
        <is>
          <t>2025-06-03</t>
        </is>
      </c>
      <c r="H77" s="6" t="inlineStr">
        <is>
          <t>2026-09-01</t>
        </is>
      </c>
      <c r="I77" s="6" t="n">
        <v>5</v>
      </c>
      <c r="J77" s="6" t="n">
        <v>0</v>
      </c>
      <c r="K77" s="4" t="inlineStr">
        <is>
          <t>Direct correspondence</t>
        </is>
      </c>
      <c r="L77" s="7" t="inlineStr">
        <is>
          <t>Introduced the 11, 13 &amp; 15 Askew Road W12 bridge; takes 1% of the 2% arrangement fee. Trades as Capital and Property Limited</t>
        </is>
      </c>
    </row>
    <row r="78">
      <c r="A78" s="4" t="inlineStr">
        <is>
          <t>Christopher Khoi</t>
        </is>
      </c>
      <c r="B78" s="5" t="inlineStr">
        <is>
          <t>Broker</t>
        </is>
      </c>
      <c r="C78" s="4" t="inlineStr">
        <is>
          <t>RCP Finance</t>
        </is>
      </c>
      <c r="D78" s="4" t="inlineStr"/>
      <c r="E78" s="4" t="inlineStr">
        <is>
          <t>ckhoi@rcpfinance.com</t>
        </is>
      </c>
      <c r="F78" s="4" t="inlineStr"/>
      <c r="G78" s="6" t="inlineStr">
        <is>
          <t>2025-06-03</t>
        </is>
      </c>
      <c r="H78" s="6" t="inlineStr">
        <is>
          <t>2025-06-03</t>
        </is>
      </c>
      <c r="I78" s="6" t="n">
        <v>0</v>
      </c>
      <c r="J78" s="6" t="n">
        <v>0</v>
      </c>
      <c r="K78" s="8" t="inlineStr">
        <is>
          <t>Named in a thread</t>
        </is>
      </c>
      <c r="L78" s="7" t="inlineStr">
        <is>
          <t>On a Canterbury hotel finance enquiry</t>
        </is>
      </c>
    </row>
    <row r="79">
      <c r="A79" s="4" t="inlineStr">
        <is>
          <t>Ruben Chicheportiche</t>
        </is>
      </c>
      <c r="B79" s="5" t="inlineStr">
        <is>
          <t>Broker</t>
        </is>
      </c>
      <c r="C79" s="4" t="inlineStr">
        <is>
          <t>RCP Finance</t>
        </is>
      </c>
      <c r="D79" s="4" t="inlineStr"/>
      <c r="E79" s="4" t="inlineStr">
        <is>
          <t>rchicheportiche@rcpfinance.com</t>
        </is>
      </c>
      <c r="F79" s="4" t="inlineStr"/>
      <c r="G79" s="6" t="inlineStr">
        <is>
          <t>2025-06-03</t>
        </is>
      </c>
      <c r="H79" s="6" t="inlineStr">
        <is>
          <t>2025-06-03</t>
        </is>
      </c>
      <c r="I79" s="6" t="n">
        <v>0</v>
      </c>
      <c r="J79" s="6" t="n">
        <v>0</v>
      </c>
      <c r="K79" s="8" t="inlineStr">
        <is>
          <t>Named in a thread</t>
        </is>
      </c>
      <c r="L79" s="7" t="inlineStr">
        <is>
          <t>On a Canterbury hotel finance enquiry</t>
        </is>
      </c>
    </row>
    <row r="80">
      <c r="A80" s="4" t="inlineStr">
        <is>
          <t>Adam Jaffe</t>
        </is>
      </c>
      <c r="B80" s="5" t="inlineStr">
        <is>
          <t>Broker</t>
        </is>
      </c>
      <c r="C80" s="4" t="inlineStr">
        <is>
          <t>RIB</t>
        </is>
      </c>
      <c r="D80" s="4" t="inlineStr">
        <is>
          <t>Senior Director</t>
        </is>
      </c>
      <c r="E80" s="4" t="inlineStr">
        <is>
          <t>adam.jaffe@rib.co.uk</t>
        </is>
      </c>
      <c r="F80" s="4" t="inlineStr">
        <is>
          <t>020 7637 0821</t>
        </is>
      </c>
      <c r="G80" s="6" t="inlineStr">
        <is>
          <t>2026-08-26</t>
        </is>
      </c>
      <c r="H80" s="6" t="inlineStr">
        <is>
          <t>2026-09-09</t>
        </is>
      </c>
      <c r="I80" s="6" t="n">
        <v>4</v>
      </c>
      <c r="J80" s="6" t="n">
        <v>0</v>
      </c>
      <c r="K80" s="4" t="inlineStr">
        <is>
          <t>Direct correspondence</t>
        </is>
      </c>
      <c r="L80" s="7" t="inlineStr">
        <is>
          <t>Brought Centre Heights, Swiss Cottage — REL issued high-level terms at £10.88m / 68% LTV, 26/08.</t>
        </is>
      </c>
    </row>
    <row r="81">
      <c r="A81" s="4" t="inlineStr">
        <is>
          <t>Clemente Apollonj</t>
        </is>
      </c>
      <c r="B81" s="5" t="inlineStr">
        <is>
          <t>Broker</t>
        </is>
      </c>
      <c r="C81" s="4" t="inlineStr">
        <is>
          <t>Roscap</t>
        </is>
      </c>
      <c r="D81" s="4" t="inlineStr"/>
      <c r="E81" s="4" t="inlineStr">
        <is>
          <t>clemente@roscap.co.uk</t>
        </is>
      </c>
      <c r="F81" s="4" t="inlineStr"/>
      <c r="G81" s="6" t="inlineStr">
        <is>
          <t>2026-05-26</t>
        </is>
      </c>
      <c r="H81" s="6" t="inlineStr">
        <is>
          <t>2026-05-26</t>
        </is>
      </c>
      <c r="I81" s="6" t="n">
        <v>0</v>
      </c>
      <c r="J81" s="6" t="n">
        <v>0</v>
      </c>
      <c r="K81" s="8" t="inlineStr">
        <is>
          <t>Named in a thread</t>
        </is>
      </c>
      <c r="L81" s="7" t="inlineStr">
        <is>
          <t>Sought a max-leverage Central London bridge, £12m purchase against £15m market value</t>
        </is>
      </c>
    </row>
    <row r="82">
      <c r="A82" s="4" t="inlineStr">
        <is>
          <t>Suleman Rafiq</t>
        </is>
      </c>
      <c r="B82" s="5" t="inlineStr">
        <is>
          <t>Broker</t>
        </is>
      </c>
      <c r="C82" s="4" t="inlineStr">
        <is>
          <t>Roscap</t>
        </is>
      </c>
      <c r="D82" s="4" t="inlineStr"/>
      <c r="E82" s="4" t="inlineStr">
        <is>
          <t>suleman@roscap.co.uk</t>
        </is>
      </c>
      <c r="F82" s="4" t="inlineStr"/>
      <c r="G82" s="6" t="inlineStr">
        <is>
          <t>2025-10-09</t>
        </is>
      </c>
      <c r="H82" s="6" t="inlineStr">
        <is>
          <t>2025-10-09</t>
        </is>
      </c>
      <c r="I82" s="6" t="n">
        <v>0</v>
      </c>
      <c r="J82" s="6" t="n">
        <v>0</v>
      </c>
      <c r="K82" s="8" t="inlineStr">
        <is>
          <t>Named in a thread</t>
        </is>
      </c>
      <c r="L82" s="7" t="inlineStr">
        <is>
          <t>Partner &amp; CEO of Roscap, real estate debt and equity advisory; mandated to arrange the acquisition bridge on 188 Wilmslow Road, Fallowfield, Manchester (£4m net requested, Oct 2025, REL quoted £3.7m).</t>
        </is>
      </c>
    </row>
    <row r="83">
      <c r="A83" s="4" t="inlineStr">
        <is>
          <t>Daniel O'Neil</t>
        </is>
      </c>
      <c r="B83" s="5" t="inlineStr">
        <is>
          <t>Broker</t>
        </is>
      </c>
      <c r="C83" s="4" t="inlineStr">
        <is>
          <t>SPF Private Clients</t>
        </is>
      </c>
      <c r="D83" s="4" t="inlineStr"/>
      <c r="E83" s="4" t="inlineStr">
        <is>
          <t>doneil@spf.co.uk</t>
        </is>
      </c>
      <c r="F83" s="4" t="inlineStr"/>
      <c r="G83" s="6" t="inlineStr">
        <is>
          <t>2026-01-29</t>
        </is>
      </c>
      <c r="H83" s="6" t="inlineStr">
        <is>
          <t>2026-01-29</t>
        </is>
      </c>
      <c r="I83" s="6" t="n">
        <v>0</v>
      </c>
      <c r="J83" s="6" t="n">
        <v>0</v>
      </c>
      <c r="K83" s="8" t="inlineStr">
        <is>
          <t>Named in a thread</t>
        </is>
      </c>
      <c r="L83" s="7" t="inlineStr">
        <is>
          <t>SPF broker enquiring on REL's lending appetite</t>
        </is>
      </c>
    </row>
    <row r="84">
      <c r="A84" s="4" t="inlineStr">
        <is>
          <t>David Yeadon</t>
        </is>
      </c>
      <c r="B84" s="5" t="inlineStr">
        <is>
          <t>Broker</t>
        </is>
      </c>
      <c r="C84" s="4" t="inlineStr">
        <is>
          <t>SPF Private Clients</t>
        </is>
      </c>
      <c r="D84" s="4" t="inlineStr"/>
      <c r="E84" s="4" t="inlineStr">
        <is>
          <t>dyeadon@spf.co.uk</t>
        </is>
      </c>
      <c r="F84" s="4" t="inlineStr"/>
      <c r="G84" s="6" t="inlineStr">
        <is>
          <t>2026-01-29</t>
        </is>
      </c>
      <c r="H84" s="6" t="inlineStr">
        <is>
          <t>2026-08-03</t>
        </is>
      </c>
      <c r="I84" s="6" t="n">
        <v>0</v>
      </c>
      <c r="J84" s="6" t="n">
        <v>0</v>
      </c>
      <c r="K84" s="8" t="inlineStr">
        <is>
          <t>Named in a thread</t>
        </is>
      </c>
      <c r="L84" s="7" t="inlineStr">
        <is>
          <t>SPF broker; Beaufort Hotel, Knightsbridge refinance / bridge application</t>
        </is>
      </c>
    </row>
    <row r="85">
      <c r="A85" s="4" t="inlineStr">
        <is>
          <t>Laurie Marsh</t>
        </is>
      </c>
      <c r="B85" s="5" t="inlineStr">
        <is>
          <t>Broker</t>
        </is>
      </c>
      <c r="C85" s="4" t="inlineStr">
        <is>
          <t>TRST Advisory</t>
        </is>
      </c>
      <c r="D85" s="4" t="inlineStr"/>
      <c r="E85" s="4" t="inlineStr">
        <is>
          <t>laurie.marsh@trst-advisory.com</t>
        </is>
      </c>
      <c r="F85" s="4" t="inlineStr">
        <is>
          <t>+44 7525 582897</t>
        </is>
      </c>
      <c r="G85" s="6" t="inlineStr">
        <is>
          <t>2026-07-22</t>
        </is>
      </c>
      <c r="H85" s="6" t="inlineStr">
        <is>
          <t>2026-08-01</t>
        </is>
      </c>
      <c r="I85" s="6" t="n">
        <v>3</v>
      </c>
      <c r="J85" s="6" t="n">
        <v>0</v>
      </c>
      <c r="K85" s="4" t="inlineStr">
        <is>
          <t>Direct correspondence</t>
        </is>
      </c>
      <c r="L85" s="7" t="inlineStr">
        <is>
          <t>TRST debt advisor alongside Sarah Strang; Cedarstone KWH and Castleton Works</t>
        </is>
      </c>
    </row>
    <row r="86">
      <c r="A86" s="4" t="inlineStr">
        <is>
          <t>Sarah Strang</t>
        </is>
      </c>
      <c r="B86" s="5" t="inlineStr">
        <is>
          <t>Broker</t>
        </is>
      </c>
      <c r="C86" s="4" t="inlineStr">
        <is>
          <t>TRST Advisory</t>
        </is>
      </c>
      <c r="D86" s="4" t="inlineStr"/>
      <c r="E86" s="4" t="inlineStr">
        <is>
          <t>sarah.strang@trst-advisory.com</t>
        </is>
      </c>
      <c r="F86" s="4" t="inlineStr">
        <is>
          <t>+44 7742 466 791</t>
        </is>
      </c>
      <c r="G86" s="6" t="inlineStr">
        <is>
          <t>2026-07-22</t>
        </is>
      </c>
      <c r="H86" s="6" t="inlineStr">
        <is>
          <t>2026-07-30</t>
        </is>
      </c>
      <c r="I86" s="6" t="n">
        <v>4</v>
      </c>
      <c r="J86" s="6" t="n">
        <v>0</v>
      </c>
      <c r="K86" s="4" t="inlineStr">
        <is>
          <t>Direct correspondence</t>
        </is>
      </c>
      <c r="L86" s="7" t="inlineStr">
        <is>
          <t>Debt advisor running the Solaris / Castleton Works, Leeds c.£3.6m senior development bridge</t>
        </is>
      </c>
    </row>
    <row r="87">
      <c r="A87" s="4" t="inlineStr">
        <is>
          <t>Chris Kelly</t>
        </is>
      </c>
      <c r="B87" s="5" t="inlineStr">
        <is>
          <t>Broker</t>
        </is>
      </c>
      <c r="C87" s="4" t="inlineStr">
        <is>
          <t>Waypoint Asset Management</t>
        </is>
      </c>
      <c r="D87" s="4" t="inlineStr"/>
      <c r="E87" s="4" t="inlineStr">
        <is>
          <t>chris.kelly@waypointam.co.uk</t>
        </is>
      </c>
      <c r="F87" s="4" t="inlineStr"/>
      <c r="G87" s="6" t="inlineStr">
        <is>
          <t>2026-01-26</t>
        </is>
      </c>
      <c r="H87" s="6" t="inlineStr">
        <is>
          <t>2026-01-26</t>
        </is>
      </c>
      <c r="I87" s="6" t="n">
        <v>0</v>
      </c>
      <c r="J87" s="6" t="n">
        <v>0</v>
      </c>
      <c r="K87" s="8" t="inlineStr">
        <is>
          <t>Named in a thread</t>
        </is>
      </c>
      <c r="L87" s="7" t="inlineStr">
        <is>
          <t>Consultant at Waypoint; introduced the Tribeca financing to OakNorth and REL via Jay Bhogal and ran the deal alongside Priya Harley at OakNorth.</t>
        </is>
      </c>
    </row>
    <row r="88">
      <c r="A88" s="4" t="inlineStr">
        <is>
          <t>Jon Leefe</t>
        </is>
      </c>
      <c r="B88" s="5" t="inlineStr">
        <is>
          <t>Broker</t>
        </is>
      </c>
      <c r="C88" s="4" t="inlineStr">
        <is>
          <t>Waypoint Asset Management</t>
        </is>
      </c>
      <c r="D88" s="4" t="inlineStr"/>
      <c r="E88" s="4" t="inlineStr">
        <is>
          <t>jon.leefe@waypointam.co.uk</t>
        </is>
      </c>
      <c r="F88" s="4" t="inlineStr"/>
      <c r="G88" s="6" t="inlineStr">
        <is>
          <t>2026-01-26</t>
        </is>
      </c>
      <c r="H88" s="6" t="inlineStr">
        <is>
          <t>2026-01-26</t>
        </is>
      </c>
      <c r="I88" s="6" t="n">
        <v>0</v>
      </c>
      <c r="J88" s="6" t="n">
        <v>0</v>
      </c>
      <c r="K88" s="8" t="inlineStr">
        <is>
          <t>Named in a thread</t>
        </is>
      </c>
      <c r="L88" s="7" t="inlineStr">
        <is>
          <t>Waypoint colleague of Chris Kelly; named as a cover contact on the Tribeca financing.</t>
        </is>
      </c>
    </row>
    <row r="89">
      <c r="A89" s="4" t="inlineStr">
        <is>
          <t>Kirstyn Rutter</t>
        </is>
      </c>
      <c r="B89" s="5" t="inlineStr">
        <is>
          <t>Broker</t>
        </is>
      </c>
      <c r="C89" s="4" t="inlineStr">
        <is>
          <t>Waypoint Asset Management</t>
        </is>
      </c>
      <c r="D89" s="4" t="inlineStr"/>
      <c r="E89" s="4" t="inlineStr">
        <is>
          <t>kirstyn@waypointam.co.uk</t>
        </is>
      </c>
      <c r="F89" s="4" t="inlineStr"/>
      <c r="G89" s="6" t="inlineStr">
        <is>
          <t>2026-01-26</t>
        </is>
      </c>
      <c r="H89" s="6" t="inlineStr">
        <is>
          <t>2026-01-26</t>
        </is>
      </c>
      <c r="I89" s="6" t="n">
        <v>0</v>
      </c>
      <c r="J89" s="6" t="n">
        <v>0</v>
      </c>
      <c r="K89" s="8" t="inlineStr">
        <is>
          <t>Named in a thread</t>
        </is>
      </c>
      <c r="L89" s="7" t="inlineStr">
        <is>
          <t>Waypoint colleague of Chris Kelly; named as a cover contact on the Tribeca financing.</t>
        </is>
      </c>
    </row>
    <row r="90">
      <c r="A90" s="4" t="inlineStr">
        <is>
          <t>Devraj Ray</t>
        </is>
      </c>
      <c r="B90" s="5" t="inlineStr">
        <is>
          <t>Broker</t>
        </is>
      </c>
      <c r="C90" s="4" t="inlineStr">
        <is>
          <t>Westdown Private Finance</t>
        </is>
      </c>
      <c r="D90" s="4" t="inlineStr">
        <is>
          <t>Managing Director</t>
        </is>
      </c>
      <c r="E90" s="4" t="inlineStr">
        <is>
          <t>devraj@westdownpf.com</t>
        </is>
      </c>
      <c r="F90" s="4" t="inlineStr">
        <is>
          <t>07770 929 757, 020 3633 1566</t>
        </is>
      </c>
      <c r="G90" s="6" t="inlineStr">
        <is>
          <t>2025-02-11</t>
        </is>
      </c>
      <c r="H90" s="6" t="inlineStr">
        <is>
          <t>2025-02-11</t>
        </is>
      </c>
      <c r="I90" s="6" t="n">
        <v>1</v>
      </c>
      <c r="J90" s="6" t="n">
        <v>0</v>
      </c>
      <c r="K90" s="4" t="inlineStr">
        <is>
          <t>Direct correspondence</t>
        </is>
      </c>
      <c r="L90" s="7" t="inlineStr">
        <is>
          <t>Introduced 24 &amp; 30 Sussex Gardens, a hotel with Westminster bookings</t>
        </is>
      </c>
    </row>
    <row r="91">
      <c r="A91" s="4" t="inlineStr">
        <is>
          <t>Dave Dixon</t>
        </is>
      </c>
      <c r="B91" s="5" t="inlineStr">
        <is>
          <t>Broker</t>
        </is>
      </c>
      <c r="C91" s="4" t="inlineStr">
        <is>
          <t>Yellow Stone Finance</t>
        </is>
      </c>
      <c r="D91" s="4" t="inlineStr">
        <is>
          <t>Case Manager</t>
        </is>
      </c>
      <c r="E91" s="4" t="inlineStr">
        <is>
          <t>d.dixon@yellowstonefinance.com</t>
        </is>
      </c>
      <c r="F91" s="4" t="inlineStr">
        <is>
          <t>020 4634 4884</t>
        </is>
      </c>
      <c r="G91" s="6" t="inlineStr">
        <is>
          <t>2026-09-04</t>
        </is>
      </c>
      <c r="H91" s="6" t="inlineStr">
        <is>
          <t>2026-09-07</t>
        </is>
      </c>
      <c r="I91" s="6" t="n">
        <v>0</v>
      </c>
      <c r="J91" s="6" t="n">
        <v>0</v>
      </c>
      <c r="K91" s="8" t="inlineStr">
        <is>
          <t>Named in a thread</t>
        </is>
      </c>
      <c r="L91" s="7" t="inlineStr">
        <is>
          <t>Approached REL through the info@ enquiry mailbox on Brighton Pier — £7m purchase loan at c.39% LTV, 04/09. REL had seen the transaction before via another bidder.</t>
        </is>
      </c>
    </row>
    <row r="92">
      <c r="A92" s="4" t="inlineStr">
        <is>
          <t>Indy Hora</t>
        </is>
      </c>
      <c r="B92" s="5" t="inlineStr">
        <is>
          <t>Broker</t>
        </is>
      </c>
      <c r="C92" s="4" t="inlineStr"/>
      <c r="D92" s="4" t="inlineStr"/>
      <c r="E92" s="4" t="inlineStr">
        <is>
          <t>indyhora@gmail.com</t>
        </is>
      </c>
      <c r="F92" s="4" t="inlineStr"/>
      <c r="G92" s="6" t="inlineStr">
        <is>
          <t>2025-06-03</t>
        </is>
      </c>
      <c r="H92" s="6" t="inlineStr">
        <is>
          <t>2025-06-03</t>
        </is>
      </c>
      <c r="I92" s="6" t="n">
        <v>0</v>
      </c>
      <c r="J92" s="6" t="n">
        <v>0</v>
      </c>
      <c r="K92" s="8" t="inlineStr">
        <is>
          <t>Named in a thread</t>
        </is>
      </c>
      <c r="L92" s="7" t="inlineStr">
        <is>
          <t>Source of a £20m hotel financing enquiry forwarded into REL</t>
        </is>
      </c>
    </row>
    <row r="93">
      <c r="A93" s="4" t="inlineStr">
        <is>
          <t>Manish Babla</t>
        </is>
      </c>
      <c r="B93" s="5" t="inlineStr">
        <is>
          <t>Broker</t>
        </is>
      </c>
      <c r="C93" s="4" t="inlineStr"/>
      <c r="D93" s="4" t="inlineStr">
        <is>
          <t>Debt Advisor</t>
        </is>
      </c>
      <c r="E93" s="4" t="inlineStr">
        <is>
          <t>manishbabla@gmail.com</t>
        </is>
      </c>
      <c r="F93" s="4" t="inlineStr">
        <is>
          <t>07866 435 144</t>
        </is>
      </c>
      <c r="G93" s="6" t="inlineStr">
        <is>
          <t>2026-05-27</t>
        </is>
      </c>
      <c r="H93" s="6" t="inlineStr">
        <is>
          <t>2026-09-03</t>
        </is>
      </c>
      <c r="I93" s="6" t="n">
        <v>12</v>
      </c>
      <c r="J93" s="6" t="n">
        <v>0</v>
      </c>
      <c r="K93" s="4" t="inlineStr">
        <is>
          <t>Direct correspondence</t>
        </is>
      </c>
      <c r="L93" s="7" t="inlineStr">
        <is>
          <t>Independent introducer; brought Bemal Patel and Lincolns Inn Fields (£8.9m-£10.8m refi), takes 0.75% debt advisor fee</t>
        </is>
      </c>
    </row>
    <row r="94">
      <c r="A94" s="4" t="inlineStr">
        <is>
          <t>GB Bank Loan Completions Team</t>
        </is>
      </c>
      <c r="B94" s="9" t="inlineStr">
        <is>
          <t>Lender / Bank</t>
        </is>
      </c>
      <c r="C94" s="4" t="inlineStr">
        <is>
          <t>GB Bank</t>
        </is>
      </c>
      <c r="D94" s="4" t="inlineStr"/>
      <c r="E94" s="4" t="inlineStr">
        <is>
          <t>lct@thegbb.co.uk</t>
        </is>
      </c>
      <c r="F94" s="4" t="inlineStr"/>
      <c r="G94" s="6" t="inlineStr">
        <is>
          <t>2026-04-07</t>
        </is>
      </c>
      <c r="H94" s="6" t="inlineStr">
        <is>
          <t>2026-04-15</t>
        </is>
      </c>
      <c r="I94" s="6" t="n">
        <v>0</v>
      </c>
      <c r="J94" s="6" t="n">
        <v>0</v>
      </c>
      <c r="K94" s="8" t="inlineStr">
        <is>
          <t>Named in a thread</t>
        </is>
      </c>
      <c r="L94" s="7" t="inlineStr">
        <is>
          <t>GB Bank completions team inbox used for the London Land Bromley drawdown</t>
        </is>
      </c>
    </row>
    <row r="95">
      <c r="A95" s="4" t="inlineStr">
        <is>
          <t>GB Bank Portfolio Team</t>
        </is>
      </c>
      <c r="B95" s="9" t="inlineStr">
        <is>
          <t>Lender / Bank</t>
        </is>
      </c>
      <c r="C95" s="4" t="inlineStr">
        <is>
          <t>GB Bank</t>
        </is>
      </c>
      <c r="D95" s="4" t="inlineStr"/>
      <c r="E95" s="4" t="inlineStr">
        <is>
          <t>portfolio@thegbb.co.uk</t>
        </is>
      </c>
      <c r="F95" s="4" t="inlineStr"/>
      <c r="G95" s="6" t="inlineStr">
        <is>
          <t>2026-06-22</t>
        </is>
      </c>
      <c r="H95" s="6" t="inlineStr">
        <is>
          <t>2026-09-03</t>
        </is>
      </c>
      <c r="I95" s="6" t="n">
        <v>0</v>
      </c>
      <c r="J95" s="6" t="n">
        <v>0</v>
      </c>
      <c r="K95" s="8" t="inlineStr">
        <is>
          <t>Named in a thread</t>
        </is>
      </c>
      <c r="L95" s="7" t="inlineStr">
        <is>
          <t>GB Bank portfolio management inbox on the DNA Uxbridge loan</t>
        </is>
      </c>
    </row>
    <row r="96">
      <c r="A96" s="4" t="inlineStr">
        <is>
          <t>Hanan Abubaker</t>
        </is>
      </c>
      <c r="B96" s="9" t="inlineStr">
        <is>
          <t>Lender / Bank</t>
        </is>
      </c>
      <c r="C96" s="4" t="inlineStr">
        <is>
          <t>GB Bank</t>
        </is>
      </c>
      <c r="D96" s="4" t="inlineStr">
        <is>
          <t>Portfolio Manager</t>
        </is>
      </c>
      <c r="E96" s="4" t="inlineStr">
        <is>
          <t>hanan.abubaker@thegbb.co.uk</t>
        </is>
      </c>
      <c r="F96" s="4" t="inlineStr">
        <is>
          <t>03330 387623</t>
        </is>
      </c>
      <c r="G96" s="6" t="inlineStr">
        <is>
          <t>2026-06-22</t>
        </is>
      </c>
      <c r="H96" s="6" t="inlineStr">
        <is>
          <t>2026-09-03</t>
        </is>
      </c>
      <c r="I96" s="6" t="n">
        <v>7</v>
      </c>
      <c r="J96" s="6" t="n">
        <v>0</v>
      </c>
      <c r="K96" s="4" t="inlineStr">
        <is>
          <t>Direct correspondence</t>
        </is>
      </c>
      <c r="L96" s="7" t="inlineStr">
        <is>
          <t>GB Bank portfolio manager on the DNA Uxbridge loan</t>
        </is>
      </c>
    </row>
    <row r="97">
      <c r="A97" s="4" t="inlineStr">
        <is>
          <t>Hardik Gogia</t>
        </is>
      </c>
      <c r="B97" s="9" t="inlineStr">
        <is>
          <t>Lender / Bank</t>
        </is>
      </c>
      <c r="C97" s="4" t="inlineStr">
        <is>
          <t>GB Bank</t>
        </is>
      </c>
      <c r="D97" s="4" t="inlineStr">
        <is>
          <t>Business Development Manager</t>
        </is>
      </c>
      <c r="E97" s="4" t="inlineStr">
        <is>
          <t>hardik.gogia@thegbb.co.uk</t>
        </is>
      </c>
      <c r="F97" s="4" t="inlineStr">
        <is>
          <t>+44 7586234864</t>
        </is>
      </c>
      <c r="G97" s="6" t="inlineStr">
        <is>
          <t>2026-02-04</t>
        </is>
      </c>
      <c r="H97" s="6" t="inlineStr">
        <is>
          <t>2026-09-08</t>
        </is>
      </c>
      <c r="I97" s="6" t="n">
        <v>14</v>
      </c>
      <c r="J97" s="6" t="n">
        <v>0</v>
      </c>
      <c r="K97" s="4" t="inlineStr">
        <is>
          <t>Direct correspondence</t>
        </is>
      </c>
      <c r="L97" s="7" t="inlineStr">
        <is>
          <t>Main GB Bank originator on the REL loan-on-loan line; London Land Bromley and DNA Uxbridge</t>
        </is>
      </c>
    </row>
    <row r="98">
      <c r="A98" s="4" t="inlineStr">
        <is>
          <t>Hrishikesh Tendulkar</t>
        </is>
      </c>
      <c r="B98" s="9" t="inlineStr">
        <is>
          <t>Lender / Bank</t>
        </is>
      </c>
      <c r="C98" s="4" t="inlineStr">
        <is>
          <t>GB Bank</t>
        </is>
      </c>
      <c r="D98" s="4" t="inlineStr">
        <is>
          <t>Loan Completions Manager</t>
        </is>
      </c>
      <c r="E98" s="4" t="inlineStr">
        <is>
          <t>hrishikesh.tendulkar@thegbb.co.uk</t>
        </is>
      </c>
      <c r="F98" s="4" t="inlineStr">
        <is>
          <t>+44 (0) 333 038 7563</t>
        </is>
      </c>
      <c r="G98" s="6" t="inlineStr">
        <is>
          <t>2026-04-07</t>
        </is>
      </c>
      <c r="H98" s="6" t="inlineStr">
        <is>
          <t>2026-04-15</t>
        </is>
      </c>
      <c r="I98" s="6" t="n">
        <v>5</v>
      </c>
      <c r="J98" s="6" t="n">
        <v>0</v>
      </c>
      <c r="K98" s="4" t="inlineStr">
        <is>
          <t>Direct correspondence</t>
        </is>
      </c>
      <c r="L98" s="7" t="inlineStr">
        <is>
          <t>Runs GB Bank completions on the London Land Bromley drawdown</t>
        </is>
      </c>
    </row>
    <row r="99">
      <c r="A99" s="4" t="inlineStr">
        <is>
          <t>Nick Lynch</t>
        </is>
      </c>
      <c r="B99" s="9" t="inlineStr">
        <is>
          <t>Lender / Bank</t>
        </is>
      </c>
      <c r="C99" s="4" t="inlineStr">
        <is>
          <t>GB Bank</t>
        </is>
      </c>
      <c r="D99" s="4" t="inlineStr">
        <is>
          <t>Head of Loan Originations &amp; Portfolio Management</t>
        </is>
      </c>
      <c r="E99" s="4" t="inlineStr">
        <is>
          <t>nick.lynch@thegbb.co.uk</t>
        </is>
      </c>
      <c r="F99" s="4" t="inlineStr">
        <is>
          <t>+44 (0)333 038 7564</t>
        </is>
      </c>
      <c r="G99" s="6" t="inlineStr">
        <is>
          <t>2026-04-01</t>
        </is>
      </c>
      <c r="H99" s="6" t="inlineStr">
        <is>
          <t>2026-09-03</t>
        </is>
      </c>
      <c r="I99" s="6" t="n">
        <v>14</v>
      </c>
      <c r="J99" s="6" t="n">
        <v>0</v>
      </c>
      <c r="K99" s="4" t="inlineStr">
        <is>
          <t>Direct correspondence</t>
        </is>
      </c>
      <c r="L99" s="7" t="inlineStr">
        <is>
          <t>GB Bank originations head across the London Land Bromley deal</t>
        </is>
      </c>
    </row>
    <row r="100">
      <c r="A100" s="4" t="inlineStr">
        <is>
          <t>Pankaj Thukral</t>
        </is>
      </c>
      <c r="B100" s="9" t="inlineStr">
        <is>
          <t>Lender / Bank</t>
        </is>
      </c>
      <c r="C100" s="4" t="inlineStr">
        <is>
          <t>GB Bank</t>
        </is>
      </c>
      <c r="D100" s="4" t="inlineStr"/>
      <c r="E100" s="4" t="inlineStr">
        <is>
          <t>pankaj.thukral@thegbb.co.uk</t>
        </is>
      </c>
      <c r="F100" s="4" t="inlineStr"/>
      <c r="G100" s="6" t="inlineStr">
        <is>
          <t>2026-02-04</t>
        </is>
      </c>
      <c r="H100" s="6" t="inlineStr">
        <is>
          <t>2026-03-12</t>
        </is>
      </c>
      <c r="I100" s="6" t="n">
        <v>2</v>
      </c>
      <c r="J100" s="6" t="n">
        <v>0</v>
      </c>
      <c r="K100" s="4" t="inlineStr">
        <is>
          <t>Direct correspondence</t>
        </is>
      </c>
      <c r="L100" s="7" t="inlineStr">
        <is>
          <t>GB Bank decision-maker; agreed the c.£50m loan-on-loan framework at 1% fee / 4% margin</t>
        </is>
      </c>
    </row>
    <row r="101">
      <c r="A101" s="4" t="inlineStr">
        <is>
          <t>Pranav Jain</t>
        </is>
      </c>
      <c r="B101" s="9" t="inlineStr">
        <is>
          <t>Lender / Bank</t>
        </is>
      </c>
      <c r="C101" s="4" t="inlineStr">
        <is>
          <t>GB Bank</t>
        </is>
      </c>
      <c r="D101" s="4" t="inlineStr"/>
      <c r="E101" s="4" t="inlineStr">
        <is>
          <t>pranav.jain@thegbb.co.uk</t>
        </is>
      </c>
      <c r="F101" s="4" t="inlineStr"/>
      <c r="G101" s="6" t="inlineStr">
        <is>
          <t>2026-06-22</t>
        </is>
      </c>
      <c r="H101" s="6" t="inlineStr">
        <is>
          <t>2026-07-16</t>
        </is>
      </c>
      <c r="I101" s="6" t="n">
        <v>0</v>
      </c>
      <c r="J101" s="6" t="n">
        <v>0</v>
      </c>
      <c r="K101" s="8" t="inlineStr">
        <is>
          <t>Named in a thread</t>
        </is>
      </c>
      <c r="L101" s="7" t="inlineStr"/>
    </row>
    <row r="102">
      <c r="A102" s="4" t="inlineStr">
        <is>
          <t>Richard Clare</t>
        </is>
      </c>
      <c r="B102" s="9" t="inlineStr">
        <is>
          <t>Lender / Bank</t>
        </is>
      </c>
      <c r="C102" s="4" t="inlineStr">
        <is>
          <t>GB Bank</t>
        </is>
      </c>
      <c r="D102" s="4" t="inlineStr"/>
      <c r="E102" s="4" t="inlineStr">
        <is>
          <t>richard.clare@thegbb.co.uk</t>
        </is>
      </c>
      <c r="F102" s="4" t="inlineStr"/>
      <c r="G102" s="6" t="inlineStr">
        <is>
          <t>2026-07-16</t>
        </is>
      </c>
      <c r="H102" s="6" t="inlineStr">
        <is>
          <t>2026-08-24</t>
        </is>
      </c>
      <c r="I102" s="6" t="n">
        <v>0</v>
      </c>
      <c r="J102" s="6" t="n">
        <v>0</v>
      </c>
      <c r="K102" s="8" t="inlineStr">
        <is>
          <t>Named in a thread</t>
        </is>
      </c>
      <c r="L102" s="7" t="inlineStr"/>
    </row>
    <row r="103">
      <c r="A103" s="4" t="inlineStr">
        <is>
          <t>Saba Kebede</t>
        </is>
      </c>
      <c r="B103" s="9" t="inlineStr">
        <is>
          <t>Lender / Bank</t>
        </is>
      </c>
      <c r="C103" s="4" t="inlineStr">
        <is>
          <t>GB Bank</t>
        </is>
      </c>
      <c r="D103" s="4" t="inlineStr">
        <is>
          <t>Portfolio and Loan Completions Analyst</t>
        </is>
      </c>
      <c r="E103" s="4" t="inlineStr">
        <is>
          <t>saba.kebede@thegbb.co.uk</t>
        </is>
      </c>
      <c r="F103" s="4" t="inlineStr">
        <is>
          <t>+44 333 240 8904</t>
        </is>
      </c>
      <c r="G103" s="6" t="inlineStr">
        <is>
          <t>2026-06-24</t>
        </is>
      </c>
      <c r="H103" s="6" t="inlineStr">
        <is>
          <t>2026-09-03</t>
        </is>
      </c>
      <c r="I103" s="6" t="n">
        <v>1</v>
      </c>
      <c r="J103" s="6" t="n">
        <v>0</v>
      </c>
      <c r="K103" s="4" t="inlineStr">
        <is>
          <t>Direct correspondence</t>
        </is>
      </c>
      <c r="L103" s="7" t="inlineStr"/>
    </row>
    <row r="104">
      <c r="A104" s="4" t="inlineStr">
        <is>
          <t>Suravi Garg</t>
        </is>
      </c>
      <c r="B104" s="9" t="inlineStr">
        <is>
          <t>Lender / Bank</t>
        </is>
      </c>
      <c r="C104" s="4" t="inlineStr">
        <is>
          <t>GB Bank</t>
        </is>
      </c>
      <c r="D104" s="4" t="inlineStr"/>
      <c r="E104" s="4" t="inlineStr">
        <is>
          <t>suravi.garg@thegbb.co.uk</t>
        </is>
      </c>
      <c r="F104" s="4" t="inlineStr"/>
      <c r="G104" s="6" t="inlineStr">
        <is>
          <t>2026-03-04</t>
        </is>
      </c>
      <c r="H104" s="6" t="inlineStr">
        <is>
          <t>2026-08-24</t>
        </is>
      </c>
      <c r="I104" s="6" t="n">
        <v>2</v>
      </c>
      <c r="J104" s="6" t="n">
        <v>0</v>
      </c>
      <c r="K104" s="4" t="inlineStr">
        <is>
          <t>Direct correspondence</t>
        </is>
      </c>
      <c r="L104" s="7" t="inlineStr">
        <is>
          <t>GB Bank analyst; Bromley unit breakdown and comparables</t>
        </is>
      </c>
    </row>
    <row r="105">
      <c r="A105" s="4" t="inlineStr">
        <is>
          <t>Alexey Shokhin</t>
        </is>
      </c>
      <c r="B105" s="9" t="inlineStr">
        <is>
          <t>Lender / Bank</t>
        </is>
      </c>
      <c r="C105" s="4" t="inlineStr">
        <is>
          <t>Hilco Real Estate Finance</t>
        </is>
      </c>
      <c r="D105" s="4" t="inlineStr">
        <is>
          <t>Director</t>
        </is>
      </c>
      <c r="E105" s="4" t="inlineStr">
        <is>
          <t>ashokhin@hilcoglobal.com</t>
        </is>
      </c>
      <c r="F105" s="4" t="inlineStr">
        <is>
          <t>+44 7984 748773</t>
        </is>
      </c>
      <c r="G105" s="6" t="inlineStr">
        <is>
          <t>2026-02-24</t>
        </is>
      </c>
      <c r="H105" s="6" t="inlineStr">
        <is>
          <t>2026-02-24</t>
        </is>
      </c>
      <c r="I105" s="6" t="n">
        <v>0</v>
      </c>
      <c r="J105" s="6" t="n">
        <v>0</v>
      </c>
      <c r="K105" s="8" t="inlineStr">
        <is>
          <t>Named in a thread</t>
        </is>
      </c>
      <c r="L105" s="7" t="inlineStr">
        <is>
          <t>UK origination contact at Hilco Real Estate Finance (HREF), an institutionally backed property lender covering £2m-£150m real estate loans.</t>
        </is>
      </c>
    </row>
    <row r="106">
      <c r="A106" s="4" t="inlineStr">
        <is>
          <t>Asim Shirawani</t>
        </is>
      </c>
      <c r="B106" s="9" t="inlineStr">
        <is>
          <t>Lender / Bank</t>
        </is>
      </c>
      <c r="C106" s="4" t="inlineStr">
        <is>
          <t>Hilco Real Estate Finance</t>
        </is>
      </c>
      <c r="D106" s="4" t="inlineStr">
        <is>
          <t>Managing Director</t>
        </is>
      </c>
      <c r="E106" s="4" t="inlineStr">
        <is>
          <t>ashirwani@hilcoglobal.com</t>
        </is>
      </c>
      <c r="F106" s="4" t="inlineStr">
        <is>
          <t>+44 7846 632245</t>
        </is>
      </c>
      <c r="G106" s="6" t="inlineStr">
        <is>
          <t>2026-02-24</t>
        </is>
      </c>
      <c r="H106" s="6" t="inlineStr">
        <is>
          <t>2026-02-24</t>
        </is>
      </c>
      <c r="I106" s="6" t="n">
        <v>0</v>
      </c>
      <c r="J106" s="6" t="n">
        <v>0</v>
      </c>
      <c r="K106" s="8" t="inlineStr">
        <is>
          <t>Named in a thread</t>
        </is>
      </c>
      <c r="L106" s="7" t="inlineStr">
        <is>
          <t>UK origination contact at Hilco Real Estate Finance (HREF), an institutionally backed property lender covering £2m-£150m real estate loans.</t>
        </is>
      </c>
    </row>
    <row r="107">
      <c r="A107" s="4" t="inlineStr">
        <is>
          <t>Sean Adams</t>
        </is>
      </c>
      <c r="B107" s="9" t="inlineStr">
        <is>
          <t>Lender / Bank</t>
        </is>
      </c>
      <c r="C107" s="4" t="inlineStr">
        <is>
          <t>Hilco Real Estate Finance</t>
        </is>
      </c>
      <c r="D107" s="4" t="inlineStr">
        <is>
          <t>Managing Director</t>
        </is>
      </c>
      <c r="E107" s="4" t="inlineStr">
        <is>
          <t>sadams@hilcoglobal.com</t>
        </is>
      </c>
      <c r="F107" s="4" t="inlineStr">
        <is>
          <t>+44 7968 553341</t>
        </is>
      </c>
      <c r="G107" s="6" t="inlineStr">
        <is>
          <t>2026-02-24</t>
        </is>
      </c>
      <c r="H107" s="6" t="inlineStr">
        <is>
          <t>2026-02-24</t>
        </is>
      </c>
      <c r="I107" s="6" t="n">
        <v>0</v>
      </c>
      <c r="J107" s="6" t="n">
        <v>0</v>
      </c>
      <c r="K107" s="8" t="inlineStr">
        <is>
          <t>Named in a thread</t>
        </is>
      </c>
      <c r="L107" s="7" t="inlineStr">
        <is>
          <t>UK origination contact at Hilco Real Estate Finance (HREF), an institutionally backed property lender covering £2m-£150m real estate loans.</t>
        </is>
      </c>
    </row>
    <row r="108">
      <c r="A108" s="4" t="inlineStr">
        <is>
          <t>Steve Allen</t>
        </is>
      </c>
      <c r="B108" s="9" t="inlineStr">
        <is>
          <t>Lender / Bank</t>
        </is>
      </c>
      <c r="C108" s="4" t="inlineStr">
        <is>
          <t>Hilco Real Estate Finance</t>
        </is>
      </c>
      <c r="D108" s="4" t="inlineStr">
        <is>
          <t>Director</t>
        </is>
      </c>
      <c r="E108" s="4" t="inlineStr">
        <is>
          <t>sallen@hilcoglobal.com</t>
        </is>
      </c>
      <c r="F108" s="4" t="inlineStr">
        <is>
          <t>+44 7355 035003</t>
        </is>
      </c>
      <c r="G108" s="6" t="inlineStr">
        <is>
          <t>2026-02-24</t>
        </is>
      </c>
      <c r="H108" s="6" t="inlineStr">
        <is>
          <t>2026-02-24</t>
        </is>
      </c>
      <c r="I108" s="6" t="n">
        <v>0</v>
      </c>
      <c r="J108" s="6" t="n">
        <v>0</v>
      </c>
      <c r="K108" s="8" t="inlineStr">
        <is>
          <t>Named in a thread</t>
        </is>
      </c>
      <c r="L108" s="7" t="inlineStr">
        <is>
          <t>UK origination contact at Hilco Real Estate Finance (HREF), an institutionally backed property lender covering £2m-£150m real estate loans.</t>
        </is>
      </c>
    </row>
    <row r="109">
      <c r="A109" s="4" t="inlineStr">
        <is>
          <t>Anek Mhajan</t>
        </is>
      </c>
      <c r="B109" s="9" t="inlineStr">
        <is>
          <t>Lender / Bank</t>
        </is>
      </c>
      <c r="C109" s="4" t="inlineStr">
        <is>
          <t>Investec Bank plc</t>
        </is>
      </c>
      <c r="D109" s="4" t="inlineStr"/>
      <c r="E109" s="4" t="inlineStr">
        <is>
          <t>anek.mhajan@investec.com</t>
        </is>
      </c>
      <c r="F109" s="4" t="inlineStr"/>
      <c r="G109" s="6" t="inlineStr">
        <is>
          <t>2026-02-11</t>
        </is>
      </c>
      <c r="H109" s="6" t="inlineStr">
        <is>
          <t>2026-02-11</t>
        </is>
      </c>
      <c r="I109" s="6" t="n">
        <v>0</v>
      </c>
      <c r="J109" s="6" t="n">
        <v>0</v>
      </c>
      <c r="K109" s="8" t="inlineStr">
        <is>
          <t>Named in a thread</t>
        </is>
      </c>
      <c r="L109" s="7" t="inlineStr">
        <is>
          <t>Investec contact who passed the Westvile Securities / 46 Holland Park refinance request across to REL (Feb 2026).</t>
        </is>
      </c>
    </row>
    <row r="110">
      <c r="A110" s="4" t="inlineStr">
        <is>
          <t>Tom Bradshaw</t>
        </is>
      </c>
      <c r="B110" s="9" t="inlineStr">
        <is>
          <t>Lender / Bank</t>
        </is>
      </c>
      <c r="C110" s="4" t="inlineStr">
        <is>
          <t>Investec Bank plc</t>
        </is>
      </c>
      <c r="D110" s="4" t="inlineStr"/>
      <c r="E110" s="4" t="inlineStr">
        <is>
          <t>tom.bradshaw@investec.com</t>
        </is>
      </c>
      <c r="F110" s="4" t="inlineStr"/>
      <c r="G110" s="6" t="inlineStr">
        <is>
          <t>2026-02-11</t>
        </is>
      </c>
      <c r="H110" s="6" t="inlineStr">
        <is>
          <t>2026-02-11</t>
        </is>
      </c>
      <c r="I110" s="6" t="n">
        <v>0</v>
      </c>
      <c r="J110" s="6" t="n">
        <v>0</v>
      </c>
      <c r="K110" s="8" t="inlineStr">
        <is>
          <t>Named in a thread</t>
        </is>
      </c>
      <c r="L110" s="7" t="inlineStr">
        <is>
          <t>Investec contact on the Westvile Securities / 46 Holland Park loan request that was passed to REL (Feb 2026).</t>
        </is>
      </c>
    </row>
    <row r="111">
      <c r="A111" s="4" t="inlineStr">
        <is>
          <t>Anton Skatov</t>
        </is>
      </c>
      <c r="B111" s="9" t="inlineStr">
        <is>
          <t>Lender / Bank</t>
        </is>
      </c>
      <c r="C111" s="4" t="inlineStr">
        <is>
          <t>LandlordInvest</t>
        </is>
      </c>
      <c r="D111" s="4" t="inlineStr"/>
      <c r="E111" s="4" t="inlineStr">
        <is>
          <t>anton@landlordinvest.com</t>
        </is>
      </c>
      <c r="F111" s="4" t="inlineStr"/>
      <c r="G111" s="6" t="inlineStr">
        <is>
          <t>2026-08-19</t>
        </is>
      </c>
      <c r="H111" s="6" t="inlineStr">
        <is>
          <t>2026-08-19</t>
        </is>
      </c>
      <c r="I111" s="6" t="n">
        <v>0</v>
      </c>
      <c r="J111" s="6" t="n">
        <v>0</v>
      </c>
      <c r="K111" s="8" t="inlineStr">
        <is>
          <t>Named in a thread</t>
        </is>
      </c>
      <c r="L111" s="7" t="inlineStr">
        <is>
          <t>Reviewing REL’s DD information request on the LandlordInvest JV.</t>
        </is>
      </c>
    </row>
    <row r="112">
      <c r="A112" s="4" t="inlineStr">
        <is>
          <t>Joe Vallender</t>
        </is>
      </c>
      <c r="B112" s="9" t="inlineStr">
        <is>
          <t>Lender / Bank</t>
        </is>
      </c>
      <c r="C112" s="4" t="inlineStr">
        <is>
          <t>LandlordInvest</t>
        </is>
      </c>
      <c r="D112" s="4" t="inlineStr"/>
      <c r="E112" s="4" t="inlineStr">
        <is>
          <t>joe@landlordinvest.com</t>
        </is>
      </c>
      <c r="F112" s="4" t="inlineStr"/>
      <c r="G112" s="6" t="inlineStr">
        <is>
          <t>2026-08-19</t>
        </is>
      </c>
      <c r="H112" s="6" t="inlineStr">
        <is>
          <t>2026-08-19</t>
        </is>
      </c>
      <c r="I112" s="6" t="n">
        <v>0</v>
      </c>
      <c r="J112" s="6" t="n">
        <v>0</v>
      </c>
      <c r="K112" s="8" t="inlineStr">
        <is>
          <t>Named in a thread</t>
        </is>
      </c>
      <c r="L112" s="7" t="inlineStr">
        <is>
          <t>Reviewing REL’s DD information request on the LandlordInvest JV.</t>
        </is>
      </c>
    </row>
    <row r="113">
      <c r="A113" s="4" t="inlineStr">
        <is>
          <t>Rishi Khurana</t>
        </is>
      </c>
      <c r="B113" s="9" t="inlineStr">
        <is>
          <t>Lender / Bank</t>
        </is>
      </c>
      <c r="C113" s="4" t="inlineStr">
        <is>
          <t>LandlordInvest</t>
        </is>
      </c>
      <c r="D113" s="4" t="inlineStr">
        <is>
          <t>CEO</t>
        </is>
      </c>
      <c r="E113" s="4" t="inlineStr">
        <is>
          <t>rishi@landlordinvest.com</t>
        </is>
      </c>
      <c r="F113" s="4" t="inlineStr">
        <is>
          <t>+44 7946 258420</t>
        </is>
      </c>
      <c r="G113" s="6" t="inlineStr">
        <is>
          <t>2026-08-18</t>
        </is>
      </c>
      <c r="H113" s="6" t="inlineStr">
        <is>
          <t>2026-08-19</t>
        </is>
      </c>
      <c r="I113" s="6" t="n">
        <v>1</v>
      </c>
      <c r="J113" s="6" t="n">
        <v>0</v>
      </c>
      <c r="K113" s="4" t="inlineStr">
        <is>
          <t>Direct correspondence</t>
        </is>
      </c>
      <c r="L113" s="7" t="inlineStr">
        <is>
          <t>CEO of the FCA-authorised lending platform REL is running JV / acquisition diligence on. Same person as rishi@purestone.uk — use this address for LandlordInvest matters.</t>
        </is>
      </c>
    </row>
    <row r="114">
      <c r="A114" s="4" t="inlineStr">
        <is>
          <t>Alisha Pandey</t>
        </is>
      </c>
      <c r="B114" s="9" t="inlineStr">
        <is>
          <t>Lender / Bank</t>
        </is>
      </c>
      <c r="C114" s="4" t="inlineStr">
        <is>
          <t>OakNorth Bank</t>
        </is>
      </c>
      <c r="D114" s="4" t="inlineStr"/>
      <c r="E114" s="4" t="inlineStr">
        <is>
          <t>alisha.pandey@oaknorth.co.uk</t>
        </is>
      </c>
      <c r="F114" s="4" t="inlineStr"/>
      <c r="G114" s="6" t="inlineStr">
        <is>
          <t>2026-06-26</t>
        </is>
      </c>
      <c r="H114" s="6" t="inlineStr">
        <is>
          <t>2026-07-15</t>
        </is>
      </c>
      <c r="I114" s="6" t="n">
        <v>0</v>
      </c>
      <c r="J114" s="6" t="n">
        <v>0</v>
      </c>
      <c r="K114" s="8" t="inlineStr">
        <is>
          <t>Named in a thread</t>
        </is>
      </c>
      <c r="L114" s="7" t="inlineStr"/>
    </row>
    <row r="115">
      <c r="A115" s="4" t="inlineStr">
        <is>
          <t>Azayr Raja</t>
        </is>
      </c>
      <c r="B115" s="9" t="inlineStr">
        <is>
          <t>Lender / Bank</t>
        </is>
      </c>
      <c r="C115" s="4" t="inlineStr">
        <is>
          <t>OakNorth Bank</t>
        </is>
      </c>
      <c r="D115" s="4" t="inlineStr"/>
      <c r="E115" s="4" t="inlineStr">
        <is>
          <t>azayr.raja@oaknorth.co.uk</t>
        </is>
      </c>
      <c r="F115" s="4" t="inlineStr"/>
      <c r="G115" s="6" t="inlineStr">
        <is>
          <t>2026-02-23</t>
        </is>
      </c>
      <c r="H115" s="6" t="inlineStr">
        <is>
          <t>2026-02-25</t>
        </is>
      </c>
      <c r="I115" s="6" t="n">
        <v>0</v>
      </c>
      <c r="J115" s="6" t="n">
        <v>0</v>
      </c>
      <c r="K115" s="8" t="inlineStr">
        <is>
          <t>Named in a thread</t>
        </is>
      </c>
      <c r="L115" s="7" t="inlineStr">
        <is>
          <t>Copied on the OakNorth deal team for the St Clements final valuation</t>
        </is>
      </c>
    </row>
    <row r="116">
      <c r="A116" s="4" t="inlineStr">
        <is>
          <t>Chloe Skae</t>
        </is>
      </c>
      <c r="B116" s="9" t="inlineStr">
        <is>
          <t>Lender / Bank</t>
        </is>
      </c>
      <c r="C116" s="4" t="inlineStr">
        <is>
          <t>OakNorth Bank</t>
        </is>
      </c>
      <c r="D116" s="4" t="inlineStr">
        <is>
          <t>Director, Portfolio Management</t>
        </is>
      </c>
      <c r="E116" s="4" t="inlineStr">
        <is>
          <t>chloe.skae@oaknorth.co.uk</t>
        </is>
      </c>
      <c r="F116" s="4" t="inlineStr">
        <is>
          <t>07858823534</t>
        </is>
      </c>
      <c r="G116" s="6" t="inlineStr">
        <is>
          <t>2026-06-09</t>
        </is>
      </c>
      <c r="H116" s="6" t="inlineStr">
        <is>
          <t>2026-07-15</t>
        </is>
      </c>
      <c r="I116" s="6" t="n">
        <v>4</v>
      </c>
      <c r="J116" s="6" t="n">
        <v>0</v>
      </c>
      <c r="K116" s="4" t="inlineStr">
        <is>
          <t>Direct correspondence</t>
        </is>
      </c>
      <c r="L116" s="7" t="inlineStr">
        <is>
          <t>OakNorth portfolio manager on the Charte Forte (Monument) Limited facility</t>
        </is>
      </c>
    </row>
    <row r="117">
      <c r="A117" s="4" t="inlineStr">
        <is>
          <t>Deepesh Thakrar</t>
        </is>
      </c>
      <c r="B117" s="9" t="inlineStr">
        <is>
          <t>Lender / Bank</t>
        </is>
      </c>
      <c r="C117" s="4" t="inlineStr">
        <is>
          <t>OakNorth Bank</t>
        </is>
      </c>
      <c r="D117" s="4" t="inlineStr">
        <is>
          <t>Managing Director, Debt Finance</t>
        </is>
      </c>
      <c r="E117" s="4" t="inlineStr">
        <is>
          <t>deepesh.thakrar@oaknorth.co.uk</t>
        </is>
      </c>
      <c r="F117" s="4" t="inlineStr">
        <is>
          <t>+447776154745</t>
        </is>
      </c>
      <c r="G117" s="6" t="inlineStr">
        <is>
          <t>2025-06-24</t>
        </is>
      </c>
      <c r="H117" s="6" t="inlineStr">
        <is>
          <t>2026-09-02</t>
        </is>
      </c>
      <c r="I117" s="6" t="n">
        <v>4</v>
      </c>
      <c r="J117" s="6" t="n">
        <v>1</v>
      </c>
      <c r="K117" s="4" t="inlineStr">
        <is>
          <t>Direct correspondence</t>
        </is>
      </c>
      <c r="L117" s="7" t="inlineStr">
        <is>
          <t>Senior OakNorth relationship - Elysian Stanmore and St Clements valuation</t>
        </is>
      </c>
    </row>
    <row r="118">
      <c r="A118" s="4" t="inlineStr">
        <is>
          <t>Felix Price</t>
        </is>
      </c>
      <c r="B118" s="9" t="inlineStr">
        <is>
          <t>Lender / Bank</t>
        </is>
      </c>
      <c r="C118" s="4" t="inlineStr">
        <is>
          <t>OakNorth Bank</t>
        </is>
      </c>
      <c r="D118" s="4" t="inlineStr">
        <is>
          <t>Senior Associate, Debt Finance</t>
        </is>
      </c>
      <c r="E118" s="4" t="inlineStr">
        <is>
          <t>felix.price@oaknorth.co.uk</t>
        </is>
      </c>
      <c r="F118" s="4" t="inlineStr">
        <is>
          <t>07725474291</t>
        </is>
      </c>
      <c r="G118" s="6" t="inlineStr">
        <is>
          <t>2026-02-10</t>
        </is>
      </c>
      <c r="H118" s="6" t="inlineStr">
        <is>
          <t>2026-08-20</t>
        </is>
      </c>
      <c r="I118" s="6" t="n">
        <v>3</v>
      </c>
      <c r="J118" s="6" t="n">
        <v>0</v>
      </c>
      <c r="K118" s="4" t="inlineStr">
        <is>
          <t>Direct correspondence</t>
        </is>
      </c>
      <c r="L118" s="7" t="inlineStr">
        <is>
          <t>Runs OakNorth pricing and fees on St Clements Lane and Peninsular House, where ON sits senior to REL</t>
        </is>
      </c>
    </row>
    <row r="119">
      <c r="A119" s="4" t="inlineStr">
        <is>
          <t>Gagandeep Singh</t>
        </is>
      </c>
      <c r="B119" s="9" t="inlineStr">
        <is>
          <t>Lender / Bank</t>
        </is>
      </c>
      <c r="C119" s="4" t="inlineStr">
        <is>
          <t>OakNorth Bank</t>
        </is>
      </c>
      <c r="D119" s="4" t="inlineStr">
        <is>
          <t>Senior Director, Portfolio Monitoring</t>
        </is>
      </c>
      <c r="E119" s="4" t="inlineStr">
        <is>
          <t>gagandeep.singh@oaknorth.co.uk</t>
        </is>
      </c>
      <c r="F119" s="4" t="inlineStr">
        <is>
          <t>+447586031463</t>
        </is>
      </c>
      <c r="G119" s="6" t="inlineStr">
        <is>
          <t>2026-01-27</t>
        </is>
      </c>
      <c r="H119" s="6" t="inlineStr">
        <is>
          <t>2026-09-04</t>
        </is>
      </c>
      <c r="I119" s="6" t="n">
        <v>22</v>
      </c>
      <c r="J119" s="6" t="n">
        <v>2</v>
      </c>
      <c r="K119" s="4" t="inlineStr">
        <is>
          <t>Direct correspondence</t>
        </is>
      </c>
      <c r="L119" s="7" t="inlineStr">
        <is>
          <t>Runs OakNorth monitoring and MI reporting on the ESSL facility</t>
        </is>
      </c>
    </row>
    <row r="120">
      <c r="A120" s="4" t="inlineStr">
        <is>
          <t>Hemesh Patel</t>
        </is>
      </c>
      <c r="B120" s="9" t="inlineStr">
        <is>
          <t>Lender / Bank</t>
        </is>
      </c>
      <c r="C120" s="4" t="inlineStr">
        <is>
          <t>OakNorth Bank</t>
        </is>
      </c>
      <c r="D120" s="4" t="inlineStr">
        <is>
          <t>Director, Property Finance</t>
        </is>
      </c>
      <c r="E120" s="4" t="inlineStr">
        <is>
          <t>hemesh.patel@oaknorth.co.uk</t>
        </is>
      </c>
      <c r="F120" s="4" t="inlineStr">
        <is>
          <t>+447771375386</t>
        </is>
      </c>
      <c r="G120" s="6" t="inlineStr">
        <is>
          <t>2025-10-08</t>
        </is>
      </c>
      <c r="H120" s="6" t="inlineStr">
        <is>
          <t>2026-07-20</t>
        </is>
      </c>
      <c r="I120" s="6" t="n">
        <v>39</v>
      </c>
      <c r="J120" s="6" t="n">
        <v>0</v>
      </c>
      <c r="K120" s="4" t="inlineStr">
        <is>
          <t>Direct correspondence</t>
        </is>
      </c>
      <c r="L120" s="7" t="inlineStr">
        <is>
          <t>£32.5m Southeast industrial portfolio refinance and Plant Basingstoke</t>
        </is>
      </c>
    </row>
    <row r="121">
      <c r="A121" s="4" t="inlineStr">
        <is>
          <t>Kamakshi Kumar</t>
        </is>
      </c>
      <c r="B121" s="9" t="inlineStr">
        <is>
          <t>Lender / Bank</t>
        </is>
      </c>
      <c r="C121" s="4" t="inlineStr">
        <is>
          <t>OakNorth Bank</t>
        </is>
      </c>
      <c r="D121" s="4" t="inlineStr"/>
      <c r="E121" s="4" t="inlineStr">
        <is>
          <t>kamakshi.kumar@oaknorth.co.uk</t>
        </is>
      </c>
      <c r="F121" s="4" t="inlineStr"/>
      <c r="G121" s="6" t="inlineStr">
        <is>
          <t>2026-03-06</t>
        </is>
      </c>
      <c r="H121" s="6" t="inlineStr">
        <is>
          <t>2026-03-26</t>
        </is>
      </c>
      <c r="I121" s="6" t="n">
        <v>0</v>
      </c>
      <c r="J121" s="6" t="n">
        <v>0</v>
      </c>
      <c r="K121" s="8" t="inlineStr">
        <is>
          <t>Named in a thread</t>
        </is>
      </c>
      <c r="L121" s="7" t="inlineStr">
        <is>
          <t>Copied on the Oryx 2 Real Estate REL/ON redemption</t>
        </is>
      </c>
    </row>
    <row r="122">
      <c r="A122" s="4" t="inlineStr">
        <is>
          <t>Luke Branchflower</t>
        </is>
      </c>
      <c r="B122" s="9" t="inlineStr">
        <is>
          <t>Lender / Bank</t>
        </is>
      </c>
      <c r="C122" s="4" t="inlineStr">
        <is>
          <t>OakNorth Bank</t>
        </is>
      </c>
      <c r="D122" s="4" t="inlineStr">
        <is>
          <t>Associate, Debt Finance</t>
        </is>
      </c>
      <c r="E122" s="4" t="inlineStr">
        <is>
          <t>luke.branchflower@oaknorth.co.uk</t>
        </is>
      </c>
      <c r="F122" s="4" t="inlineStr">
        <is>
          <t>07582748413</t>
        </is>
      </c>
      <c r="G122" s="6" t="inlineStr">
        <is>
          <t>2026-01-15</t>
        </is>
      </c>
      <c r="H122" s="6" t="inlineStr">
        <is>
          <t>2026-07-20</t>
        </is>
      </c>
      <c r="I122" s="6" t="n">
        <v>6</v>
      </c>
      <c r="J122" s="6" t="n">
        <v>0</v>
      </c>
      <c r="K122" s="4" t="inlineStr">
        <is>
          <t>Direct correspondence</t>
        </is>
      </c>
      <c r="L122" s="7" t="inlineStr">
        <is>
          <t>Debt finance associate on Plant Basingstoke</t>
        </is>
      </c>
    </row>
    <row r="123">
      <c r="A123" s="4" t="inlineStr">
        <is>
          <t>Magdalena Wierzchowska</t>
        </is>
      </c>
      <c r="B123" s="9" t="inlineStr">
        <is>
          <t>Lender / Bank</t>
        </is>
      </c>
      <c r="C123" s="4" t="inlineStr">
        <is>
          <t>OakNorth Bank</t>
        </is>
      </c>
      <c r="D123" s="4" t="inlineStr">
        <is>
          <t>Director, Legal and Transaction Management</t>
        </is>
      </c>
      <c r="E123" s="4" t="inlineStr">
        <is>
          <t>magdalena.wierzchowska@oaknorth.co.uk</t>
        </is>
      </c>
      <c r="F123" s="4" t="inlineStr">
        <is>
          <t>+44 7841 423326</t>
        </is>
      </c>
      <c r="G123" s="6" t="inlineStr">
        <is>
          <t>2026-06-26</t>
        </is>
      </c>
      <c r="H123" s="6" t="inlineStr">
        <is>
          <t>2026-07-15</t>
        </is>
      </c>
      <c r="I123" s="6" t="n">
        <v>5</v>
      </c>
      <c r="J123" s="6" t="n">
        <v>0</v>
      </c>
      <c r="K123" s="4" t="inlineStr">
        <is>
          <t>Direct correspondence</t>
        </is>
      </c>
      <c r="L123" s="7" t="inlineStr">
        <is>
          <t>Legals and funds flow on the Charte Forte (Monument) REL refinance</t>
        </is>
      </c>
    </row>
    <row r="124">
      <c r="A124" s="4" t="inlineStr">
        <is>
          <t>Mandy Sanaghan</t>
        </is>
      </c>
      <c r="B124" s="9" t="inlineStr">
        <is>
          <t>Lender / Bank</t>
        </is>
      </c>
      <c r="C124" s="4" t="inlineStr">
        <is>
          <t>OakNorth Bank</t>
        </is>
      </c>
      <c r="D124" s="4" t="inlineStr"/>
      <c r="E124" s="4" t="inlineStr">
        <is>
          <t>mandy.sanaghan@oaknorth.co.uk</t>
        </is>
      </c>
      <c r="F124" s="4" t="inlineStr"/>
      <c r="G124" s="6" t="inlineStr">
        <is>
          <t>2026-02-25</t>
        </is>
      </c>
      <c r="H124" s="6" t="inlineStr">
        <is>
          <t>2026-03-26</t>
        </is>
      </c>
      <c r="I124" s="6" t="n">
        <v>0</v>
      </c>
      <c r="J124" s="6" t="n">
        <v>0</v>
      </c>
      <c r="K124" s="8" t="inlineStr">
        <is>
          <t>Named in a thread</t>
        </is>
      </c>
      <c r="L124" s="7" t="inlineStr">
        <is>
          <t>Copied on the Oryx 2 Real Estate REL/ON redemption</t>
        </is>
      </c>
    </row>
    <row r="125">
      <c r="A125" s="4" t="inlineStr">
        <is>
          <t>Matteo Fuschillo</t>
        </is>
      </c>
      <c r="B125" s="9" t="inlineStr">
        <is>
          <t>Lender / Bank</t>
        </is>
      </c>
      <c r="C125" s="4" t="inlineStr">
        <is>
          <t>OakNorth Bank</t>
        </is>
      </c>
      <c r="D125" s="4" t="inlineStr"/>
      <c r="E125" s="4" t="inlineStr">
        <is>
          <t>matteo.fuschillo@oaknorth.co.uk</t>
        </is>
      </c>
      <c r="F125" s="4" t="inlineStr"/>
      <c r="G125" s="6" t="inlineStr">
        <is>
          <t>2026-02-23</t>
        </is>
      </c>
      <c r="H125" s="6" t="inlineStr">
        <is>
          <t>2026-02-25</t>
        </is>
      </c>
      <c r="I125" s="6" t="n">
        <v>1</v>
      </c>
      <c r="J125" s="6" t="n">
        <v>0</v>
      </c>
      <c r="K125" s="4" t="inlineStr">
        <is>
          <t>Direct correspondence</t>
        </is>
      </c>
      <c r="L125" s="7" t="inlineStr">
        <is>
          <t>On the OakNorth deal team for the St Clements final valuation</t>
        </is>
      </c>
    </row>
    <row r="126">
      <c r="A126" s="4" t="inlineStr">
        <is>
          <t>Mayank Gupta</t>
        </is>
      </c>
      <c r="B126" s="9" t="inlineStr">
        <is>
          <t>Lender / Bank</t>
        </is>
      </c>
      <c r="C126" s="4" t="inlineStr">
        <is>
          <t>OakNorth Bank</t>
        </is>
      </c>
      <c r="D126" s="4" t="inlineStr">
        <is>
          <t>Associate Director</t>
        </is>
      </c>
      <c r="E126" s="4" t="inlineStr">
        <is>
          <t>mayank.gupta1@oaknorth.co.uk</t>
        </is>
      </c>
      <c r="F126" s="4" t="inlineStr">
        <is>
          <t>+91-9818434109</t>
        </is>
      </c>
      <c r="G126" s="6" t="inlineStr">
        <is>
          <t>2026-02-25</t>
        </is>
      </c>
      <c r="H126" s="6" t="inlineStr">
        <is>
          <t>2026-03-26</t>
        </is>
      </c>
      <c r="I126" s="6" t="n">
        <v>1</v>
      </c>
      <c r="J126" s="6" t="n">
        <v>0</v>
      </c>
      <c r="K126" s="4" t="inlineStr">
        <is>
          <t>Direct correspondence</t>
        </is>
      </c>
      <c r="L126" s="7" t="inlineStr">
        <is>
          <t>OakNorth side of the Oryx 2 Real Estate REL/ON redemption</t>
        </is>
      </c>
    </row>
    <row r="127">
      <c r="A127" s="4" t="inlineStr">
        <is>
          <t>Mohit Malik</t>
        </is>
      </c>
      <c r="B127" s="9" t="inlineStr">
        <is>
          <t>Lender / Bank</t>
        </is>
      </c>
      <c r="C127" s="4" t="inlineStr">
        <is>
          <t>OakNorth Bank</t>
        </is>
      </c>
      <c r="D127" s="4" t="inlineStr"/>
      <c r="E127" s="4" t="inlineStr">
        <is>
          <t>mohit.malik@oaknorth.co.uk</t>
        </is>
      </c>
      <c r="F127" s="4" t="inlineStr"/>
      <c r="G127" s="6" t="inlineStr">
        <is>
          <t>2026-03-23</t>
        </is>
      </c>
      <c r="H127" s="6" t="inlineStr">
        <is>
          <t>2026-03-26</t>
        </is>
      </c>
      <c r="I127" s="6" t="n">
        <v>1</v>
      </c>
      <c r="J127" s="6" t="n">
        <v>0</v>
      </c>
      <c r="K127" s="4" t="inlineStr">
        <is>
          <t>Direct correspondence</t>
        </is>
      </c>
      <c r="L127" s="7" t="inlineStr">
        <is>
          <t>OakNorth contact on the Oryx 2 Real Estate redemption</t>
        </is>
      </c>
    </row>
    <row r="128">
      <c r="A128" s="4" t="inlineStr">
        <is>
          <t>Neha Gupta</t>
        </is>
      </c>
      <c r="B128" s="9" t="inlineStr">
        <is>
          <t>Lender / Bank</t>
        </is>
      </c>
      <c r="C128" s="4" t="inlineStr">
        <is>
          <t>OakNorth Bank</t>
        </is>
      </c>
      <c r="D128" s="4" t="inlineStr"/>
      <c r="E128" s="4" t="inlineStr">
        <is>
          <t>neha.gupta@oaknorth.co.uk</t>
        </is>
      </c>
      <c r="F128" s="4" t="inlineStr"/>
      <c r="G128" s="6" t="inlineStr">
        <is>
          <t>2026-05-18</t>
        </is>
      </c>
      <c r="H128" s="6" t="inlineStr">
        <is>
          <t>2026-05-18</t>
        </is>
      </c>
      <c r="I128" s="6" t="n">
        <v>0</v>
      </c>
      <c r="J128" s="6" t="n">
        <v>0</v>
      </c>
      <c r="K128" s="8" t="inlineStr">
        <is>
          <t>Named in a thread</t>
        </is>
      </c>
      <c r="L128" s="7" t="inlineStr">
        <is>
          <t>Copied on the TCR valuation thread</t>
        </is>
      </c>
    </row>
    <row r="129">
      <c r="A129" s="4" t="inlineStr">
        <is>
          <t>Nishant Tyagi</t>
        </is>
      </c>
      <c r="B129" s="9" t="inlineStr">
        <is>
          <t>Lender / Bank</t>
        </is>
      </c>
      <c r="C129" s="4" t="inlineStr">
        <is>
          <t>OakNorth Bank</t>
        </is>
      </c>
      <c r="D129" s="4" t="inlineStr"/>
      <c r="E129" s="4" t="inlineStr">
        <is>
          <t>nishant.tyagi1@oaknorth.co.uk</t>
        </is>
      </c>
      <c r="F129" s="4" t="inlineStr"/>
      <c r="G129" s="6" t="inlineStr">
        <is>
          <t>2026-05-18</t>
        </is>
      </c>
      <c r="H129" s="6" t="inlineStr">
        <is>
          <t>2026-05-18</t>
        </is>
      </c>
      <c r="I129" s="6" t="n">
        <v>0</v>
      </c>
      <c r="J129" s="6" t="n">
        <v>0</v>
      </c>
      <c r="K129" s="8" t="inlineStr">
        <is>
          <t>Named in a thread</t>
        </is>
      </c>
      <c r="L129" s="7" t="inlineStr">
        <is>
          <t>Copied on the TCR valuation thread</t>
        </is>
      </c>
    </row>
    <row r="130">
      <c r="A130" s="4" t="inlineStr">
        <is>
          <t>OakNorth Portfolio Management</t>
        </is>
      </c>
      <c r="B130" s="9" t="inlineStr">
        <is>
          <t>Lender / Bank</t>
        </is>
      </c>
      <c r="C130" s="4" t="inlineStr">
        <is>
          <t>OakNorth Bank</t>
        </is>
      </c>
      <c r="D130" s="4" t="inlineStr"/>
      <c r="E130" s="4" t="inlineStr">
        <is>
          <t>portfoliomanagement@oaknorth.co.uk</t>
        </is>
      </c>
      <c r="F130" s="4" t="inlineStr"/>
      <c r="G130" s="6" t="inlineStr">
        <is>
          <t>2025-05-06</t>
        </is>
      </c>
      <c r="H130" s="6" t="inlineStr">
        <is>
          <t>2026-08-14</t>
        </is>
      </c>
      <c r="I130" s="6" t="n">
        <v>0</v>
      </c>
      <c r="J130" s="6" t="n">
        <v>0</v>
      </c>
      <c r="K130" s="8" t="inlineStr">
        <is>
          <t>Named in a thread</t>
        </is>
      </c>
      <c r="L130" s="7" t="inlineStr">
        <is>
          <t>OakNorth portfolio monitoring inbox — information requests on REL GMP and ESSL reporting</t>
        </is>
      </c>
    </row>
    <row r="131">
      <c r="A131" s="4" t="inlineStr">
        <is>
          <t>Priya Harley</t>
        </is>
      </c>
      <c r="B131" s="9" t="inlineStr">
        <is>
          <t>Lender / Bank</t>
        </is>
      </c>
      <c r="C131" s="4" t="inlineStr">
        <is>
          <t>OakNorth Bank</t>
        </is>
      </c>
      <c r="D131" s="4" t="inlineStr">
        <is>
          <t>Director, Debt Finance</t>
        </is>
      </c>
      <c r="E131" s="4" t="inlineStr">
        <is>
          <t>priya.chauhan@oaknorth.co.uk</t>
        </is>
      </c>
      <c r="F131" s="4" t="inlineStr">
        <is>
          <t>+447904310146</t>
        </is>
      </c>
      <c r="G131" s="6" t="inlineStr">
        <is>
          <t>2025-09-26</t>
        </is>
      </c>
      <c r="H131" s="6" t="inlineStr">
        <is>
          <t>2026-07-24</t>
        </is>
      </c>
      <c r="I131" s="6" t="n">
        <v>4</v>
      </c>
      <c r="J131" s="6" t="n">
        <v>0</v>
      </c>
      <c r="K131" s="4" t="inlineStr">
        <is>
          <t>Direct correspondence</t>
        </is>
      </c>
      <c r="L131" s="7" t="inlineStr">
        <is>
          <t>OakNorth debt finance lead on Stanhope Gate, 57-60 Lincoln's Inn Fields and a regional office financing</t>
        </is>
      </c>
    </row>
    <row r="132">
      <c r="A132" s="4" t="inlineStr">
        <is>
          <t>Sam Van Der Burgh</t>
        </is>
      </c>
      <c r="B132" s="9" t="inlineStr">
        <is>
          <t>Lender / Bank</t>
        </is>
      </c>
      <c r="C132" s="4" t="inlineStr">
        <is>
          <t>OakNorth Bank</t>
        </is>
      </c>
      <c r="D132" s="4" t="inlineStr"/>
      <c r="E132" s="4" t="inlineStr">
        <is>
          <t>sam.vanderburgh@oaknorth.co.uk</t>
        </is>
      </c>
      <c r="F132" s="4" t="inlineStr"/>
      <c r="G132" s="6" t="inlineStr">
        <is>
          <t>2026-01-26</t>
        </is>
      </c>
      <c r="H132" s="6" t="inlineStr">
        <is>
          <t>2026-07-24</t>
        </is>
      </c>
      <c r="I132" s="6" t="n">
        <v>0</v>
      </c>
      <c r="J132" s="6" t="n">
        <v>0</v>
      </c>
      <c r="K132" s="8" t="inlineStr">
        <is>
          <t>Named in a thread</t>
        </is>
      </c>
      <c r="L132" s="7" t="inlineStr">
        <is>
          <t>OakNorth deal team on St Clements and 57-60 Lincoln's Inn Fields</t>
        </is>
      </c>
    </row>
    <row r="133">
      <c r="A133" s="4" t="inlineStr">
        <is>
          <t>Sarthak Mohari</t>
        </is>
      </c>
      <c r="B133" s="9" t="inlineStr">
        <is>
          <t>Lender / Bank</t>
        </is>
      </c>
      <c r="C133" s="4" t="inlineStr">
        <is>
          <t>OakNorth Bank</t>
        </is>
      </c>
      <c r="D133" s="4" t="inlineStr"/>
      <c r="E133" s="4" t="inlineStr">
        <is>
          <t>sarthak.mohari@oaknorth.co.uk</t>
        </is>
      </c>
      <c r="F133" s="4" t="inlineStr"/>
      <c r="G133" s="6" t="inlineStr">
        <is>
          <t>2026-06-15</t>
        </is>
      </c>
      <c r="H133" s="6" t="inlineStr">
        <is>
          <t>2026-07-24</t>
        </is>
      </c>
      <c r="I133" s="6" t="n">
        <v>0</v>
      </c>
      <c r="J133" s="6" t="n">
        <v>0</v>
      </c>
      <c r="K133" s="8" t="inlineStr">
        <is>
          <t>Named in a thread</t>
        </is>
      </c>
      <c r="L133" s="7" t="inlineStr">
        <is>
          <t>OakNorth contact on 57-60 Lincoln's Inn Fields</t>
        </is>
      </c>
    </row>
    <row r="134">
      <c r="A134" s="4" t="inlineStr">
        <is>
          <t>Shivani Mishra</t>
        </is>
      </c>
      <c r="B134" s="9" t="inlineStr">
        <is>
          <t>Lender / Bank</t>
        </is>
      </c>
      <c r="C134" s="4" t="inlineStr">
        <is>
          <t>OakNorth Bank</t>
        </is>
      </c>
      <c r="D134" s="4" t="inlineStr"/>
      <c r="E134" s="4" t="inlineStr">
        <is>
          <t>shivani.mishra@oaknorth.co.uk</t>
        </is>
      </c>
      <c r="F134" s="4" t="inlineStr"/>
      <c r="G134" s="6" t="inlineStr">
        <is>
          <t>2026-07-21</t>
        </is>
      </c>
      <c r="H134" s="6" t="inlineStr">
        <is>
          <t>2026-08-20</t>
        </is>
      </c>
      <c r="I134" s="6" t="n">
        <v>8</v>
      </c>
      <c r="J134" s="6" t="n">
        <v>0</v>
      </c>
      <c r="K134" s="4" t="inlineStr">
        <is>
          <t>Direct correspondence</t>
        </is>
      </c>
      <c r="L134" s="7" t="inlineStr">
        <is>
          <t>Organises OakNorth / REL relationship drinks and dinners</t>
        </is>
      </c>
    </row>
    <row r="135">
      <c r="A135" s="4" t="inlineStr">
        <is>
          <t>Shubham Kalra</t>
        </is>
      </c>
      <c r="B135" s="9" t="inlineStr">
        <is>
          <t>Lender / Bank</t>
        </is>
      </c>
      <c r="C135" s="4" t="inlineStr">
        <is>
          <t>OakNorth Bank</t>
        </is>
      </c>
      <c r="D135" s="4" t="inlineStr">
        <is>
          <t>Deputy Vice President</t>
        </is>
      </c>
      <c r="E135" s="4" t="inlineStr">
        <is>
          <t>shubham.kalra@oaknorth.co.uk</t>
        </is>
      </c>
      <c r="F135" s="4" t="inlineStr">
        <is>
          <t>+91-7206717001</t>
        </is>
      </c>
      <c r="G135" s="6" t="inlineStr">
        <is>
          <t>2025-05-06</t>
        </is>
      </c>
      <c r="H135" s="6" t="inlineStr">
        <is>
          <t>2026-03-26</t>
        </is>
      </c>
      <c r="I135" s="6" t="n">
        <v>17</v>
      </c>
      <c r="J135" s="6" t="n">
        <v>0</v>
      </c>
      <c r="K135" s="4" t="inlineStr">
        <is>
          <t>Direct correspondence</t>
        </is>
      </c>
      <c r="L135" s="7" t="inlineStr">
        <is>
          <t>REL GMP information requests and the Oryx 2 Real Estate redemption</t>
        </is>
      </c>
    </row>
    <row r="136">
      <c r="A136" s="4" t="inlineStr">
        <is>
          <t>Sumant Srivastava</t>
        </is>
      </c>
      <c r="B136" s="9" t="inlineStr">
        <is>
          <t>Lender / Bank</t>
        </is>
      </c>
      <c r="C136" s="4" t="inlineStr">
        <is>
          <t>OakNorth Bank</t>
        </is>
      </c>
      <c r="D136" s="4" t="inlineStr"/>
      <c r="E136" s="4" t="inlineStr">
        <is>
          <t>sumant.srivastava@oaknorth.co.uk</t>
        </is>
      </c>
      <c r="F136" s="4" t="inlineStr"/>
      <c r="G136" s="6" t="inlineStr">
        <is>
          <t>2026-07-07</t>
        </is>
      </c>
      <c r="H136" s="6" t="inlineStr">
        <is>
          <t>2026-07-15</t>
        </is>
      </c>
      <c r="I136" s="6" t="n">
        <v>0</v>
      </c>
      <c r="J136" s="6" t="n">
        <v>0</v>
      </c>
      <c r="K136" s="8" t="inlineStr">
        <is>
          <t>Named in a thread</t>
        </is>
      </c>
      <c r="L136" s="7" t="inlineStr"/>
    </row>
    <row r="137">
      <c r="A137" s="4" t="inlineStr">
        <is>
          <t>Vishal Tulsyan</t>
        </is>
      </c>
      <c r="B137" s="9" t="inlineStr">
        <is>
          <t>Lender / Bank</t>
        </is>
      </c>
      <c r="C137" s="4" t="inlineStr">
        <is>
          <t>OakNorth Bank</t>
        </is>
      </c>
      <c r="D137" s="4" t="inlineStr"/>
      <c r="E137" s="4" t="inlineStr">
        <is>
          <t>vishal.tulsyan@oaknorth.co.uk</t>
        </is>
      </c>
      <c r="F137" s="4" t="inlineStr"/>
      <c r="G137" s="6" t="inlineStr">
        <is>
          <t>2026-06-23</t>
        </is>
      </c>
      <c r="H137" s="6" t="inlineStr">
        <is>
          <t>2026-06-23</t>
        </is>
      </c>
      <c r="I137" s="6" t="n">
        <v>1</v>
      </c>
      <c r="J137" s="6" t="n">
        <v>0</v>
      </c>
      <c r="K137" s="4" t="inlineStr">
        <is>
          <t>Direct correspondence</t>
        </is>
      </c>
      <c r="L137" s="7" t="inlineStr">
        <is>
          <t>OakNorth contact on Charte Forte (Monument) Limited</t>
        </is>
      </c>
    </row>
    <row r="138">
      <c r="A138" s="4" t="inlineStr">
        <is>
          <t>Vivek Jaiswal</t>
        </is>
      </c>
      <c r="B138" s="9" t="inlineStr">
        <is>
          <t>Lender / Bank</t>
        </is>
      </c>
      <c r="C138" s="4" t="inlineStr">
        <is>
          <t>OakNorth Bank</t>
        </is>
      </c>
      <c r="D138" s="4" t="inlineStr">
        <is>
          <t>Senior Associate</t>
        </is>
      </c>
      <c r="E138" s="4" t="inlineStr">
        <is>
          <t>vivek.jaiswal@oaknorth.co.uk</t>
        </is>
      </c>
      <c r="F138" s="4" t="inlineStr">
        <is>
          <t>+91-9044471739</t>
        </is>
      </c>
      <c r="G138" s="6" t="inlineStr">
        <is>
          <t>2026-01-27</t>
        </is>
      </c>
      <c r="H138" s="6" t="inlineStr">
        <is>
          <t>2026-09-04</t>
        </is>
      </c>
      <c r="I138" s="6" t="n">
        <v>48</v>
      </c>
      <c r="J138" s="6" t="n">
        <v>2</v>
      </c>
      <c r="K138" s="4" t="inlineStr">
        <is>
          <t>Direct correspondence</t>
        </is>
      </c>
      <c r="L138" s="7" t="inlineStr">
        <is>
          <t>Portfolio monitoring on ESSL - M&amp;S reports, reservations, bank statements</t>
        </is>
      </c>
    </row>
    <row r="139">
      <c r="A139" s="4" t="inlineStr">
        <is>
          <t>Chantelle Parish</t>
        </is>
      </c>
      <c r="B139" s="10" t="inlineStr">
        <is>
          <t>Borrower / Sponsor</t>
        </is>
      </c>
      <c r="C139" s="4" t="inlineStr">
        <is>
          <t>Audley Group</t>
        </is>
      </c>
      <c r="D139" s="4" t="inlineStr"/>
      <c r="E139" s="4" t="inlineStr">
        <is>
          <t>chantelle.parish@audleygroup.com</t>
        </is>
      </c>
      <c r="F139" s="4" t="inlineStr"/>
      <c r="G139" s="6" t="inlineStr">
        <is>
          <t>2026-02-11</t>
        </is>
      </c>
      <c r="H139" s="6" t="inlineStr">
        <is>
          <t>2026-02-11</t>
        </is>
      </c>
      <c r="I139" s="6" t="n">
        <v>0</v>
      </c>
      <c r="J139" s="6" t="n">
        <v>0</v>
      </c>
      <c r="K139" s="8" t="inlineStr">
        <is>
          <t>Named in a thread</t>
        </is>
      </c>
      <c r="L139" s="7" t="inlineStr">
        <is>
          <t>Audley side contact on the Stanmore MI reporting template</t>
        </is>
      </c>
    </row>
    <row r="140">
      <c r="A140" s="4" t="inlineStr">
        <is>
          <t>Omer Weinberger</t>
        </is>
      </c>
      <c r="B140" s="10" t="inlineStr">
        <is>
          <t>Borrower / Sponsor</t>
        </is>
      </c>
      <c r="C140" s="4" t="inlineStr">
        <is>
          <t>Avanton</t>
        </is>
      </c>
      <c r="D140" s="4" t="inlineStr"/>
      <c r="E140" s="4" t="inlineStr">
        <is>
          <t>omer@avanton.co.uk</t>
        </is>
      </c>
      <c r="F140" s="4" t="inlineStr"/>
      <c r="G140" s="6" t="inlineStr">
        <is>
          <t>2025-02-07</t>
        </is>
      </c>
      <c r="H140" s="6" t="inlineStr">
        <is>
          <t>2025-02-11</t>
        </is>
      </c>
      <c r="I140" s="6" t="n">
        <v>0</v>
      </c>
      <c r="J140" s="6" t="n">
        <v>0</v>
      </c>
      <c r="K140" s="8" t="inlineStr">
        <is>
          <t>Named in a thread</t>
        </is>
      </c>
      <c r="L140" s="7" t="inlineStr">
        <is>
          <t>Sponsor side on Steel Works, Culvert Court, Battersea</t>
        </is>
      </c>
    </row>
    <row r="141">
      <c r="A141" s="4" t="inlineStr">
        <is>
          <t>Reis Usmani</t>
        </is>
      </c>
      <c r="B141" s="10" t="inlineStr">
        <is>
          <t>Borrower / Sponsor</t>
        </is>
      </c>
      <c r="C141" s="4" t="inlineStr">
        <is>
          <t>Avanton</t>
        </is>
      </c>
      <c r="D141" s="4" t="inlineStr"/>
      <c r="E141" s="4" t="inlineStr">
        <is>
          <t>reis@avanton.co.uk</t>
        </is>
      </c>
      <c r="F141" s="4" t="inlineStr"/>
      <c r="G141" s="6" t="inlineStr">
        <is>
          <t>2025-02-07</t>
        </is>
      </c>
      <c r="H141" s="6" t="inlineStr">
        <is>
          <t>2025-02-11</t>
        </is>
      </c>
      <c r="I141" s="6" t="n">
        <v>1</v>
      </c>
      <c r="J141" s="6" t="n">
        <v>0</v>
      </c>
      <c r="K141" s="4" t="inlineStr">
        <is>
          <t>Direct correspondence</t>
        </is>
      </c>
      <c r="L141" s="7" t="inlineStr">
        <is>
          <t>Sponsor side on Steel Works, Culvert Court, Battersea</t>
        </is>
      </c>
    </row>
    <row r="142">
      <c r="A142" s="4" t="inlineStr">
        <is>
          <t>Romain Palpacuer</t>
        </is>
      </c>
      <c r="B142" s="10" t="inlineStr">
        <is>
          <t>Borrower / Sponsor</t>
        </is>
      </c>
      <c r="C142" s="4" t="inlineStr">
        <is>
          <t>Avanton</t>
        </is>
      </c>
      <c r="D142" s="4" t="inlineStr"/>
      <c r="E142" s="4" t="inlineStr">
        <is>
          <t>romain@avanton.co.uk</t>
        </is>
      </c>
      <c r="F142" s="4" t="inlineStr"/>
      <c r="G142" s="6" t="inlineStr">
        <is>
          <t>2025-02-07</t>
        </is>
      </c>
      <c r="H142" s="6" t="inlineStr">
        <is>
          <t>2025-02-11</t>
        </is>
      </c>
      <c r="I142" s="6" t="n">
        <v>0</v>
      </c>
      <c r="J142" s="6" t="n">
        <v>0</v>
      </c>
      <c r="K142" s="8" t="inlineStr">
        <is>
          <t>Named in a thread</t>
        </is>
      </c>
      <c r="L142" s="7" t="inlineStr">
        <is>
          <t>Sponsor side on Steel Works, Culvert Court, Battersea</t>
        </is>
      </c>
    </row>
    <row r="143">
      <c r="A143" s="4" t="inlineStr">
        <is>
          <t>Mahir Vachani</t>
        </is>
      </c>
      <c r="B143" s="10" t="inlineStr">
        <is>
          <t>Borrower / Sponsor</t>
        </is>
      </c>
      <c r="C143" s="4" t="inlineStr">
        <is>
          <t>BPS London</t>
        </is>
      </c>
      <c r="D143" s="4" t="inlineStr">
        <is>
          <t>Director</t>
        </is>
      </c>
      <c r="E143" s="4" t="inlineStr">
        <is>
          <t>mahir@bps.london</t>
        </is>
      </c>
      <c r="F143" s="4" t="inlineStr">
        <is>
          <t>0207 831 1191, 07788 895 205</t>
        </is>
      </c>
      <c r="G143" s="6" t="inlineStr">
        <is>
          <t>2026-04-14</t>
        </is>
      </c>
      <c r="H143" s="6" t="inlineStr">
        <is>
          <t>2026-09-09</t>
        </is>
      </c>
      <c r="I143" s="6" t="n">
        <v>8</v>
      </c>
      <c r="J143" s="6" t="n">
        <v>0</v>
      </c>
      <c r="K143" s="4" t="inlineStr">
        <is>
          <t>Direct correspondence</t>
        </is>
      </c>
      <c r="L143" s="7" t="inlineStr">
        <is>
          <t>Sponsor side (with Purestone Capital) on 80-85 Tottenham Court Road mezzanine</t>
        </is>
      </c>
    </row>
    <row r="144">
      <c r="A144" s="4" t="inlineStr">
        <is>
          <t>Rohan Jhaveri</t>
        </is>
      </c>
      <c r="B144" s="10" t="inlineStr">
        <is>
          <t>Borrower / Sponsor</t>
        </is>
      </c>
      <c r="C144" s="4" t="inlineStr">
        <is>
          <t>BPS London</t>
        </is>
      </c>
      <c r="D144" s="4" t="inlineStr">
        <is>
          <t>Investment Director</t>
        </is>
      </c>
      <c r="E144" s="4" t="inlineStr">
        <is>
          <t>rohan@bps.london</t>
        </is>
      </c>
      <c r="F144" s="4" t="inlineStr">
        <is>
          <t>0207 831 1191, 07388 816 368</t>
        </is>
      </c>
      <c r="G144" s="6" t="inlineStr">
        <is>
          <t>2026-04-14</t>
        </is>
      </c>
      <c r="H144" s="6" t="inlineStr">
        <is>
          <t>2026-05-26</t>
        </is>
      </c>
      <c r="I144" s="6" t="n">
        <v>1</v>
      </c>
      <c r="J144" s="6" t="n">
        <v>0</v>
      </c>
      <c r="K144" s="4" t="inlineStr">
        <is>
          <t>Direct correspondence</t>
        </is>
      </c>
      <c r="L144" s="7" t="inlineStr">
        <is>
          <t>Sponsor side on 80-85 Tottenham Court Road bridge/mezz terms</t>
        </is>
      </c>
    </row>
    <row r="145">
      <c r="A145" s="4" t="inlineStr">
        <is>
          <t>Alex Randall</t>
        </is>
      </c>
      <c r="B145" s="10" t="inlineStr">
        <is>
          <t>Borrower / Sponsor</t>
        </is>
      </c>
      <c r="C145" s="4" t="inlineStr">
        <is>
          <t>Brotherton Real Estate</t>
        </is>
      </c>
      <c r="D145" s="4" t="inlineStr"/>
      <c r="E145" s="4" t="inlineStr">
        <is>
          <t>a.randall@brothertonre.com</t>
        </is>
      </c>
      <c r="F145" s="4" t="inlineStr"/>
      <c r="G145" s="6" t="inlineStr">
        <is>
          <t>2025-06-03</t>
        </is>
      </c>
      <c r="H145" s="6" t="inlineStr">
        <is>
          <t>2025-06-03</t>
        </is>
      </c>
      <c r="I145" s="6" t="n">
        <v>0</v>
      </c>
      <c r="J145" s="6" t="n">
        <v>0</v>
      </c>
      <c r="K145" s="8" t="inlineStr">
        <is>
          <t>Named in a thread</t>
        </is>
      </c>
      <c r="L145" s="7" t="inlineStr">
        <is>
          <t>Brotherton side on the University Arms, Cambridge refinance</t>
        </is>
      </c>
    </row>
    <row r="146">
      <c r="A146" s="4" t="inlineStr">
        <is>
          <t>Banner Sanders</t>
        </is>
      </c>
      <c r="B146" s="10" t="inlineStr">
        <is>
          <t>Borrower / Sponsor</t>
        </is>
      </c>
      <c r="C146" s="4" t="inlineStr">
        <is>
          <t>Brotherton Real Estate</t>
        </is>
      </c>
      <c r="D146" s="4" t="inlineStr"/>
      <c r="E146" s="4" t="inlineStr">
        <is>
          <t>b.sanders@brothertonre.com</t>
        </is>
      </c>
      <c r="F146" s="4" t="inlineStr"/>
      <c r="G146" s="6" t="inlineStr">
        <is>
          <t>2026-03-09</t>
        </is>
      </c>
      <c r="H146" s="6" t="inlineStr">
        <is>
          <t>2026-03-09</t>
        </is>
      </c>
      <c r="I146" s="6" t="n">
        <v>0</v>
      </c>
      <c r="J146" s="6" t="n">
        <v>0</v>
      </c>
      <c r="K146" s="8" t="inlineStr">
        <is>
          <t>Named in a thread</t>
        </is>
      </c>
      <c r="L146" s="7" t="inlineStr">
        <is>
          <t>Brotherton side on the Princess Yachts industrial portfolio mezzanine</t>
        </is>
      </c>
    </row>
    <row r="147">
      <c r="A147" s="4" t="inlineStr">
        <is>
          <t>Dan Uzan</t>
        </is>
      </c>
      <c r="B147" s="10" t="inlineStr">
        <is>
          <t>Borrower / Sponsor</t>
        </is>
      </c>
      <c r="C147" s="4" t="inlineStr">
        <is>
          <t>Brotherton Real Estate</t>
        </is>
      </c>
      <c r="D147" s="4" t="inlineStr"/>
      <c r="E147" s="4" t="inlineStr">
        <is>
          <t>d.uzan@brothertonre.com</t>
        </is>
      </c>
      <c r="F147" s="4" t="inlineStr"/>
      <c r="G147" s="6" t="inlineStr">
        <is>
          <t>2025-06-03</t>
        </is>
      </c>
      <c r="H147" s="6" t="inlineStr">
        <is>
          <t>2026-04-21</t>
        </is>
      </c>
      <c r="I147" s="6" t="n">
        <v>0</v>
      </c>
      <c r="J147" s="6" t="n">
        <v>0</v>
      </c>
      <c r="K147" s="8" t="inlineStr">
        <is>
          <t>Named in a thread</t>
        </is>
      </c>
      <c r="L147" s="7" t="inlineStr">
        <is>
          <t>Across University Arms Cambridge, Princess Yachts mezzanine and the Ellesmere JLR bridge</t>
        </is>
      </c>
    </row>
    <row r="148">
      <c r="A148" s="4" t="inlineStr">
        <is>
          <t>Eduard Mantz</t>
        </is>
      </c>
      <c r="B148" s="10" t="inlineStr">
        <is>
          <t>Borrower / Sponsor</t>
        </is>
      </c>
      <c r="C148" s="4" t="inlineStr">
        <is>
          <t>Brotherton Real Estate</t>
        </is>
      </c>
      <c r="D148" s="4" t="inlineStr"/>
      <c r="E148" s="4" t="inlineStr">
        <is>
          <t>e.mantz@brothertonre.com</t>
        </is>
      </c>
      <c r="F148" s="4" t="inlineStr"/>
      <c r="G148" s="6" t="inlineStr">
        <is>
          <t>2026-03-09</t>
        </is>
      </c>
      <c r="H148" s="6" t="inlineStr">
        <is>
          <t>2026-03-09</t>
        </is>
      </c>
      <c r="I148" s="6" t="n">
        <v>0</v>
      </c>
      <c r="J148" s="6" t="n">
        <v>0</v>
      </c>
      <c r="K148" s="8" t="inlineStr">
        <is>
          <t>Named in a thread</t>
        </is>
      </c>
      <c r="L148" s="7" t="inlineStr">
        <is>
          <t>Brotherton side on the Princess Yachts industrial portfolio mezzanine</t>
        </is>
      </c>
    </row>
    <row r="149">
      <c r="A149" s="4" t="inlineStr">
        <is>
          <t>G Tsitsis</t>
        </is>
      </c>
      <c r="B149" s="10" t="inlineStr">
        <is>
          <t>Borrower / Sponsor</t>
        </is>
      </c>
      <c r="C149" s="4" t="inlineStr">
        <is>
          <t>Brotherton Real Estate</t>
        </is>
      </c>
      <c r="D149" s="4" t="inlineStr"/>
      <c r="E149" s="4" t="inlineStr">
        <is>
          <t>g.tsitsis@brothertonre.com</t>
        </is>
      </c>
      <c r="F149" s="4" t="inlineStr"/>
      <c r="G149" s="6" t="inlineStr">
        <is>
          <t>2026-03-09</t>
        </is>
      </c>
      <c r="H149" s="6" t="inlineStr">
        <is>
          <t>2026-04-21</t>
        </is>
      </c>
      <c r="I149" s="6" t="n">
        <v>0</v>
      </c>
      <c r="J149" s="6" t="n">
        <v>0</v>
      </c>
      <c r="K149" s="8" t="inlineStr">
        <is>
          <t>Named in a thread</t>
        </is>
      </c>
      <c r="L149" s="7" t="inlineStr">
        <is>
          <t>On the Princess Yachts mezzanine and Ellesmere JLR bridge threads</t>
        </is>
      </c>
    </row>
    <row r="150">
      <c r="A150" s="4" t="inlineStr">
        <is>
          <t>M Wild</t>
        </is>
      </c>
      <c r="B150" s="10" t="inlineStr">
        <is>
          <t>Borrower / Sponsor</t>
        </is>
      </c>
      <c r="C150" s="4" t="inlineStr">
        <is>
          <t>Brotherton Real Estate</t>
        </is>
      </c>
      <c r="D150" s="4" t="inlineStr"/>
      <c r="E150" s="4" t="inlineStr">
        <is>
          <t>m.wild@brothertonre.com</t>
        </is>
      </c>
      <c r="F150" s="4" t="inlineStr"/>
      <c r="G150" s="6" t="inlineStr">
        <is>
          <t>2026-04-17</t>
        </is>
      </c>
      <c r="H150" s="6" t="inlineStr">
        <is>
          <t>2026-04-21</t>
        </is>
      </c>
      <c r="I150" s="6" t="n">
        <v>0</v>
      </c>
      <c r="J150" s="6" t="n">
        <v>0</v>
      </c>
      <c r="K150" s="8" t="inlineStr">
        <is>
          <t>Named in a thread</t>
        </is>
      </c>
      <c r="L150" s="7" t="inlineStr">
        <is>
          <t>On the Ellesmere JLR bridge thread</t>
        </is>
      </c>
    </row>
    <row r="151">
      <c r="A151" s="4" t="inlineStr">
        <is>
          <t>N Anderson</t>
        </is>
      </c>
      <c r="B151" s="10" t="inlineStr">
        <is>
          <t>Borrower / Sponsor</t>
        </is>
      </c>
      <c r="C151" s="4" t="inlineStr">
        <is>
          <t>Brotherton Real Estate</t>
        </is>
      </c>
      <c r="D151" s="4" t="inlineStr"/>
      <c r="E151" s="4" t="inlineStr">
        <is>
          <t>n.anderson@brothertonre.com</t>
        </is>
      </c>
      <c r="F151" s="4" t="inlineStr"/>
      <c r="G151" s="6" t="inlineStr">
        <is>
          <t>2026-03-09</t>
        </is>
      </c>
      <c r="H151" s="6" t="inlineStr">
        <is>
          <t>2026-03-09</t>
        </is>
      </c>
      <c r="I151" s="6" t="n">
        <v>0</v>
      </c>
      <c r="J151" s="6" t="n">
        <v>0</v>
      </c>
      <c r="K151" s="8" t="inlineStr">
        <is>
          <t>Named in a thread</t>
        </is>
      </c>
      <c r="L151" s="7" t="inlineStr">
        <is>
          <t>On the Princess Yachts industrial portfolio mezzanine thread</t>
        </is>
      </c>
    </row>
    <row r="152">
      <c r="A152" s="4" t="inlineStr">
        <is>
          <t>P Kennedy</t>
        </is>
      </c>
      <c r="B152" s="10" t="inlineStr">
        <is>
          <t>Borrower / Sponsor</t>
        </is>
      </c>
      <c r="C152" s="4" t="inlineStr">
        <is>
          <t>Brotherton Real Estate</t>
        </is>
      </c>
      <c r="D152" s="4" t="inlineStr"/>
      <c r="E152" s="4" t="inlineStr">
        <is>
          <t>p.kennedy@brothertonre.com</t>
        </is>
      </c>
      <c r="F152" s="4" t="inlineStr"/>
      <c r="G152" s="6" t="inlineStr">
        <is>
          <t>2026-03-09</t>
        </is>
      </c>
      <c r="H152" s="6" t="inlineStr">
        <is>
          <t>2026-03-09</t>
        </is>
      </c>
      <c r="I152" s="6" t="n">
        <v>0</v>
      </c>
      <c r="J152" s="6" t="n">
        <v>0</v>
      </c>
      <c r="K152" s="8" t="inlineStr">
        <is>
          <t>Named in a thread</t>
        </is>
      </c>
      <c r="L152" s="7" t="inlineStr">
        <is>
          <t>On the Princess Yachts industrial portfolio mezzanine thread</t>
        </is>
      </c>
    </row>
    <row r="153">
      <c r="A153" s="4" t="inlineStr">
        <is>
          <t>Richard Fine</t>
        </is>
      </c>
      <c r="B153" s="10" t="inlineStr">
        <is>
          <t>Borrower / Sponsor</t>
        </is>
      </c>
      <c r="C153" s="4" t="inlineStr">
        <is>
          <t>Brotherton Real Estate</t>
        </is>
      </c>
      <c r="D153" s="4" t="inlineStr"/>
      <c r="E153" s="4" t="inlineStr">
        <is>
          <t>r.fine@brothertonre.com</t>
        </is>
      </c>
      <c r="F153" s="4" t="inlineStr"/>
      <c r="G153" s="6" t="inlineStr">
        <is>
          <t>2025-06-03</t>
        </is>
      </c>
      <c r="H153" s="6" t="inlineStr">
        <is>
          <t>2026-04-21</t>
        </is>
      </c>
      <c r="I153" s="6" t="n">
        <v>0</v>
      </c>
      <c r="J153" s="6" t="n">
        <v>0</v>
      </c>
      <c r="K153" s="8" t="inlineStr">
        <is>
          <t>Named in a thread</t>
        </is>
      </c>
      <c r="L153" s="7" t="inlineStr">
        <is>
          <t>On the University Arms Cambridge refinance and Ellesmere JLR bridge</t>
        </is>
      </c>
    </row>
    <row r="154">
      <c r="A154" s="4" t="inlineStr">
        <is>
          <t>Robert Kleinman</t>
        </is>
      </c>
      <c r="B154" s="10" t="inlineStr">
        <is>
          <t>Borrower / Sponsor</t>
        </is>
      </c>
      <c r="C154" s="4" t="inlineStr">
        <is>
          <t>Brotherton Real Estate</t>
        </is>
      </c>
      <c r="D154" s="4" t="inlineStr"/>
      <c r="E154" s="4" t="inlineStr">
        <is>
          <t>r.kleinman@brothertonre.com</t>
        </is>
      </c>
      <c r="F154" s="4" t="inlineStr"/>
      <c r="G154" s="6" t="inlineStr">
        <is>
          <t>2025-06-03</t>
        </is>
      </c>
      <c r="H154" s="6" t="inlineStr">
        <is>
          <t>2025-06-03</t>
        </is>
      </c>
      <c r="I154" s="6" t="n">
        <v>0</v>
      </c>
      <c r="J154" s="6" t="n">
        <v>0</v>
      </c>
      <c r="K154" s="8" t="inlineStr">
        <is>
          <t>Named in a thread</t>
        </is>
      </c>
      <c r="L154" s="7" t="inlineStr">
        <is>
          <t>On the University Arms, Cambridge refinance</t>
        </is>
      </c>
    </row>
    <row r="155">
      <c r="A155" s="4" t="inlineStr">
        <is>
          <t>Matt</t>
        </is>
      </c>
      <c r="B155" s="10" t="inlineStr">
        <is>
          <t>Borrower / Sponsor</t>
        </is>
      </c>
      <c r="C155" s="4" t="inlineStr">
        <is>
          <t>Cresswick</t>
        </is>
      </c>
      <c r="D155" s="4" t="inlineStr"/>
      <c r="E155" s="4" t="inlineStr">
        <is>
          <t>matt@cresswick.co.uk</t>
        </is>
      </c>
      <c r="F155" s="4" t="inlineStr"/>
      <c r="G155" s="6" t="inlineStr">
        <is>
          <t>2026-06-24</t>
        </is>
      </c>
      <c r="H155" s="6" t="inlineStr">
        <is>
          <t>2026-07-01</t>
        </is>
      </c>
      <c r="I155" s="6" t="n">
        <v>0</v>
      </c>
      <c r="J155" s="6" t="n">
        <v>0</v>
      </c>
      <c r="K155" s="8" t="inlineStr">
        <is>
          <t>Named in a thread</t>
        </is>
      </c>
      <c r="L155" s="7" t="inlineStr">
        <is>
          <t>Cresswick sponsor side on the Dulwich acquisition being funded by REL and OakNorth via GLPG.</t>
        </is>
      </c>
    </row>
    <row r="156">
      <c r="A156" s="4" t="inlineStr">
        <is>
          <t>Nick</t>
        </is>
      </c>
      <c r="B156" s="10" t="inlineStr">
        <is>
          <t>Borrower / Sponsor</t>
        </is>
      </c>
      <c r="C156" s="4" t="inlineStr">
        <is>
          <t>Cresswick</t>
        </is>
      </c>
      <c r="D156" s="4" t="inlineStr"/>
      <c r="E156" s="4" t="inlineStr">
        <is>
          <t>nick@cresswick.co.uk</t>
        </is>
      </c>
      <c r="F156" s="4" t="inlineStr"/>
      <c r="G156" s="6" t="inlineStr">
        <is>
          <t>2026-06-24</t>
        </is>
      </c>
      <c r="H156" s="6" t="inlineStr">
        <is>
          <t>2026-07-17</t>
        </is>
      </c>
      <c r="I156" s="6" t="n">
        <v>0</v>
      </c>
      <c r="J156" s="6" t="n">
        <v>0</v>
      </c>
      <c r="K156" s="8" t="inlineStr">
        <is>
          <t>Named in a thread</t>
        </is>
      </c>
      <c r="L156" s="7" t="inlineStr">
        <is>
          <t>Cresswick principal on the Dulwich deal - fielded REL questions on the £18.5m purchase price and guarantors.</t>
        </is>
      </c>
    </row>
    <row r="157">
      <c r="A157" s="4" t="inlineStr">
        <is>
          <t>Amar Randhawa</t>
        </is>
      </c>
      <c r="B157" s="10" t="inlineStr">
        <is>
          <t>Borrower / Sponsor</t>
        </is>
      </c>
      <c r="C157" s="4" t="inlineStr">
        <is>
          <t>DNA Capital Partners</t>
        </is>
      </c>
      <c r="D157" s="4" t="inlineStr"/>
      <c r="E157" s="4" t="inlineStr">
        <is>
          <t>a.randhawa@dna-cp.com</t>
        </is>
      </c>
      <c r="F157" s="4" t="inlineStr"/>
      <c r="G157" s="6" t="inlineStr">
        <is>
          <t>2026-02-06</t>
        </is>
      </c>
      <c r="H157" s="6" t="inlineStr">
        <is>
          <t>2026-08-25</t>
        </is>
      </c>
      <c r="I157" s="6" t="n">
        <v>5</v>
      </c>
      <c r="J157" s="6" t="n">
        <v>0</v>
      </c>
      <c r="K157" s="4" t="inlineStr">
        <is>
          <t>Direct correspondence</t>
        </is>
      </c>
      <c r="L157" s="7" t="inlineStr">
        <is>
          <t>Sponsor contact on the DNA Uxbridge (Belmont Place) loan - extension, equity and redemption negotiations.</t>
        </is>
      </c>
    </row>
    <row r="158">
      <c r="A158" s="4" t="inlineStr">
        <is>
          <t>David Scheurl</t>
        </is>
      </c>
      <c r="B158" s="10" t="inlineStr">
        <is>
          <t>Borrower / Sponsor</t>
        </is>
      </c>
      <c r="C158" s="4" t="inlineStr">
        <is>
          <t>DNA Capital Partners</t>
        </is>
      </c>
      <c r="D158" s="4" t="inlineStr"/>
      <c r="E158" s="4" t="inlineStr">
        <is>
          <t>d.scheurl@dna-cp.com</t>
        </is>
      </c>
      <c r="F158" s="4" t="inlineStr"/>
      <c r="G158" s="6" t="inlineStr">
        <is>
          <t>2026-02-17</t>
        </is>
      </c>
      <c r="H158" s="6" t="inlineStr">
        <is>
          <t>2026-06-08</t>
        </is>
      </c>
      <c r="I158" s="6" t="n">
        <v>0</v>
      </c>
      <c r="J158" s="6" t="n">
        <v>0</v>
      </c>
      <c r="K158" s="8" t="inlineStr">
        <is>
          <t>Named in a thread</t>
        </is>
      </c>
      <c r="L158" s="7" t="inlineStr">
        <is>
          <t>DNA Capital Partners side of the Uxbridge loan monthly reporting and 31/07/26 maturity.</t>
        </is>
      </c>
    </row>
    <row r="159">
      <c r="A159" s="4" t="inlineStr">
        <is>
          <t>Manjit Randhawa</t>
        </is>
      </c>
      <c r="B159" s="10" t="inlineStr">
        <is>
          <t>Borrower / Sponsor</t>
        </is>
      </c>
      <c r="C159" s="4" t="inlineStr">
        <is>
          <t>DNA Capital Partners</t>
        </is>
      </c>
      <c r="D159" s="4" t="inlineStr"/>
      <c r="E159" s="4" t="inlineStr">
        <is>
          <t>m.randhawa@dna-cp.com</t>
        </is>
      </c>
      <c r="F159" s="4" t="inlineStr">
        <is>
          <t>07956 444475</t>
        </is>
      </c>
      <c r="G159" s="6" t="inlineStr">
        <is>
          <t>2026-08-05</t>
        </is>
      </c>
      <c r="H159" s="6" t="inlineStr">
        <is>
          <t>2026-08-05</t>
        </is>
      </c>
      <c r="I159" s="6" t="n">
        <v>0</v>
      </c>
      <c r="J159" s="6" t="n">
        <v>0</v>
      </c>
      <c r="K159" s="8" t="inlineStr">
        <is>
          <t>Named in a thread</t>
        </is>
      </c>
      <c r="L159" s="7" t="inlineStr">
        <is>
          <t>Director of the DNA Uxbridge development manager — the signatory Osborne Clarke needed alongside Amar Randhawa.</t>
        </is>
      </c>
    </row>
    <row r="160">
      <c r="A160" s="4" t="inlineStr">
        <is>
          <t>Alexander Larkins</t>
        </is>
      </c>
      <c r="B160" s="10" t="inlineStr">
        <is>
          <t>Borrower / Sponsor</t>
        </is>
      </c>
      <c r="C160" s="4" t="inlineStr">
        <is>
          <t>Elysian Residences</t>
        </is>
      </c>
      <c r="D160" s="4" t="inlineStr">
        <is>
          <t>Financial Accountant</t>
        </is>
      </c>
      <c r="E160" s="4" t="inlineStr">
        <is>
          <t>a.larkins@elysianresidences.com</t>
        </is>
      </c>
      <c r="F160" s="4" t="inlineStr">
        <is>
          <t>07771 144264</t>
        </is>
      </c>
      <c r="G160" s="6" t="inlineStr">
        <is>
          <t>2026-02-04</t>
        </is>
      </c>
      <c r="H160" s="6" t="inlineStr">
        <is>
          <t>2026-09-04</t>
        </is>
      </c>
      <c r="I160" s="6" t="n">
        <v>17</v>
      </c>
      <c r="J160" s="6" t="n">
        <v>3</v>
      </c>
      <c r="K160" s="4" t="inlineStr">
        <is>
          <t>Direct correspondence</t>
        </is>
      </c>
      <c r="L160" s="7" t="inlineStr">
        <is>
          <t>Main borrower-side reporting contact on the ESSL / Stanmore and The Landsby loans.</t>
        </is>
      </c>
    </row>
    <row r="161">
      <c r="A161" s="4" t="inlineStr">
        <is>
          <t>Ciara Eggenton</t>
        </is>
      </c>
      <c r="B161" s="10" t="inlineStr">
        <is>
          <t>Borrower / Sponsor</t>
        </is>
      </c>
      <c r="C161" s="4" t="inlineStr">
        <is>
          <t>Elysian Residences</t>
        </is>
      </c>
      <c r="D161" s="4" t="inlineStr">
        <is>
          <t>Conveyancing and Progressions Manager</t>
        </is>
      </c>
      <c r="E161" s="4" t="inlineStr">
        <is>
          <t>c.eggenton@elysianresidences.com</t>
        </is>
      </c>
      <c r="F161" s="4" t="inlineStr"/>
      <c r="G161" s="6" t="inlineStr">
        <is>
          <t>2026-02-11</t>
        </is>
      </c>
      <c r="H161" s="6" t="inlineStr">
        <is>
          <t>2026-02-18</t>
        </is>
      </c>
      <c r="I161" s="6" t="n">
        <v>0</v>
      </c>
      <c r="J161" s="6" t="n">
        <v>0</v>
      </c>
      <c r="K161" s="8" t="inlineStr">
        <is>
          <t>Named in a thread</t>
        </is>
      </c>
      <c r="L161" s="7" t="inlineStr">
        <is>
          <t>Handles ESSL reservations, completions and sales progression reporting to REL.</t>
        </is>
      </c>
    </row>
    <row r="162">
      <c r="A162" s="4" t="inlineStr">
        <is>
          <t>Ciara Eggenton</t>
        </is>
      </c>
      <c r="B162" s="10" t="inlineStr">
        <is>
          <t>Borrower / Sponsor</t>
        </is>
      </c>
      <c r="C162" s="4" t="inlineStr">
        <is>
          <t>Elysian Residences</t>
        </is>
      </c>
      <c r="D162" s="4" t="inlineStr">
        <is>
          <t>Conveyancing and Progressions Manager</t>
        </is>
      </c>
      <c r="E162" s="4" t="inlineStr">
        <is>
          <t>c.osullivan@elysianresidences.com</t>
        </is>
      </c>
      <c r="F162" s="4" t="inlineStr">
        <is>
          <t>020 8158 6454</t>
        </is>
      </c>
      <c r="G162" s="6" t="inlineStr">
        <is>
          <t>2026-02-04</t>
        </is>
      </c>
      <c r="H162" s="6" t="inlineStr">
        <is>
          <t>2026-02-10</t>
        </is>
      </c>
      <c r="I162" s="6" t="n">
        <v>1</v>
      </c>
      <c r="J162" s="6" t="n">
        <v>0</v>
      </c>
      <c r="K162" s="4" t="inlineStr">
        <is>
          <t>Direct correspondence</t>
        </is>
      </c>
      <c r="L162" s="7" t="inlineStr">
        <is>
          <t>Former address for Ciara Eggenton, now c.eggenton@elysianresidences.com.</t>
        </is>
      </c>
    </row>
    <row r="163">
      <c r="A163" s="4" t="inlineStr">
        <is>
          <t>Gavin Stein</t>
        </is>
      </c>
      <c r="B163" s="10" t="inlineStr">
        <is>
          <t>Borrower / Sponsor</t>
        </is>
      </c>
      <c r="C163" s="4" t="inlineStr">
        <is>
          <t>Elysian Residences</t>
        </is>
      </c>
      <c r="D163" s="4" t="inlineStr"/>
      <c r="E163" s="4" t="inlineStr">
        <is>
          <t>g.stein@elysianresidences.com</t>
        </is>
      </c>
      <c r="F163" s="4" t="inlineStr">
        <is>
          <t>+44 (0) 78 2460 4438</t>
        </is>
      </c>
      <c r="G163" s="6" t="inlineStr">
        <is>
          <t>2026-04-17</t>
        </is>
      </c>
      <c r="H163" s="6" t="inlineStr">
        <is>
          <t>2026-09-04</t>
        </is>
      </c>
      <c r="I163" s="6" t="n">
        <v>2</v>
      </c>
      <c r="J163" s="6" t="n">
        <v>0</v>
      </c>
      <c r="K163" s="4" t="inlineStr">
        <is>
          <t>Direct correspondence</t>
        </is>
      </c>
      <c r="L163" s="7" t="inlineStr">
        <is>
          <t>Senior Elysian contact on The Landsby / Stanmore LTV covenant breach discussions.</t>
        </is>
      </c>
    </row>
    <row r="164">
      <c r="A164" s="4" t="inlineStr">
        <is>
          <t>Giles Stevens</t>
        </is>
      </c>
      <c r="B164" s="10" t="inlineStr">
        <is>
          <t>Borrower / Sponsor</t>
        </is>
      </c>
      <c r="C164" s="4" t="inlineStr">
        <is>
          <t>Elysian Residences</t>
        </is>
      </c>
      <c r="D164" s="4" t="inlineStr">
        <is>
          <t>Director of Transactions</t>
        </is>
      </c>
      <c r="E164" s="4" t="inlineStr">
        <is>
          <t>g.stevens@elysianresidences.com</t>
        </is>
      </c>
      <c r="F164" s="4" t="inlineStr"/>
      <c r="G164" s="6" t="inlineStr">
        <is>
          <t>2026-04-23</t>
        </is>
      </c>
      <c r="H164" s="6" t="inlineStr">
        <is>
          <t>2026-09-04</t>
        </is>
      </c>
      <c r="I164" s="6" t="n">
        <v>7</v>
      </c>
      <c r="J164" s="6" t="n">
        <v>0</v>
      </c>
      <c r="K164" s="4" t="inlineStr">
        <is>
          <t>Direct correspondence</t>
        </is>
      </c>
      <c r="L164" s="7" t="inlineStr">
        <is>
          <t>Elysian transactions lead on The Landsby / Stanmore OakNorth-REL facility.</t>
        </is>
      </c>
    </row>
    <row r="165">
      <c r="A165" s="4" t="inlineStr">
        <is>
          <t>Paul Harries</t>
        </is>
      </c>
      <c r="B165" s="10" t="inlineStr">
        <is>
          <t>Borrower / Sponsor</t>
        </is>
      </c>
      <c r="C165" s="4" t="inlineStr">
        <is>
          <t>Elysian Residences</t>
        </is>
      </c>
      <c r="D165" s="4" t="inlineStr">
        <is>
          <t>Interim Finance Consultant</t>
        </is>
      </c>
      <c r="E165" s="4" t="inlineStr">
        <is>
          <t>p.harries@elysianresidences.com</t>
        </is>
      </c>
      <c r="F165" s="4" t="inlineStr">
        <is>
          <t>07764 510962</t>
        </is>
      </c>
      <c r="G165" s="6" t="inlineStr">
        <is>
          <t>2026-05-20</t>
        </is>
      </c>
      <c r="H165" s="6" t="inlineStr">
        <is>
          <t>2026-09-02</t>
        </is>
      </c>
      <c r="I165" s="6" t="n">
        <v>15</v>
      </c>
      <c r="J165" s="6" t="n">
        <v>0</v>
      </c>
      <c r="K165" s="4" t="inlineStr">
        <is>
          <t>Direct correspondence</t>
        </is>
      </c>
      <c r="L165" s="7" t="inlineStr">
        <is>
          <t>Leads Elysian's HSTAM1 loan-note tap to cure the Stanmore / Landsby LTV covenant breach.</t>
        </is>
      </c>
    </row>
    <row r="166">
      <c r="A166" s="4" t="inlineStr">
        <is>
          <t>S. Spencer</t>
        </is>
      </c>
      <c r="B166" s="10" t="inlineStr">
        <is>
          <t>Borrower / Sponsor</t>
        </is>
      </c>
      <c r="C166" s="4" t="inlineStr">
        <is>
          <t>Elysian Residences</t>
        </is>
      </c>
      <c r="D166" s="4" t="inlineStr"/>
      <c r="E166" s="4" t="inlineStr">
        <is>
          <t>s.spencer@elysianresidences.com</t>
        </is>
      </c>
      <c r="F166" s="4" t="inlineStr"/>
      <c r="G166" s="6" t="inlineStr">
        <is>
          <t>2026-02-09</t>
        </is>
      </c>
      <c r="H166" s="6" t="inlineStr">
        <is>
          <t>2026-02-11</t>
        </is>
      </c>
      <c r="I166" s="6" t="n">
        <v>0</v>
      </c>
      <c r="J166" s="6" t="n">
        <v>0</v>
      </c>
      <c r="K166" s="8" t="inlineStr">
        <is>
          <t>Named in a thread</t>
        </is>
      </c>
      <c r="L166" s="7" t="inlineStr">
        <is>
          <t>Elysian attendee on the Stanmore MI template discussions.</t>
        </is>
      </c>
    </row>
    <row r="167">
      <c r="A167" s="4" t="inlineStr">
        <is>
          <t>Scott Thornton</t>
        </is>
      </c>
      <c r="B167" s="10" t="inlineStr">
        <is>
          <t>Borrower / Sponsor</t>
        </is>
      </c>
      <c r="C167" s="4" t="inlineStr">
        <is>
          <t>Elysian Residences</t>
        </is>
      </c>
      <c r="D167" s="4" t="inlineStr"/>
      <c r="E167" s="4" t="inlineStr">
        <is>
          <t>s.thornton@elysianresidences.com</t>
        </is>
      </c>
      <c r="F167" s="4" t="inlineStr"/>
      <c r="G167" s="6" t="inlineStr">
        <is>
          <t>2026-02-04</t>
        </is>
      </c>
      <c r="H167" s="6" t="inlineStr">
        <is>
          <t>2026-06-18</t>
        </is>
      </c>
      <c r="I167" s="6" t="n">
        <v>1</v>
      </c>
      <c r="J167" s="6" t="n">
        <v>2</v>
      </c>
      <c r="K167" s="4" t="inlineStr">
        <is>
          <t>Direct correspondence</t>
        </is>
      </c>
      <c r="L167" s="7" t="inlineStr">
        <is>
          <t>Elysian contact on the enhanced MI template and Stanmore monitoring.</t>
        </is>
      </c>
    </row>
    <row r="168">
      <c r="A168" s="4" t="inlineStr">
        <is>
          <t>Pete Williams</t>
        </is>
      </c>
      <c r="B168" s="10" t="inlineStr">
        <is>
          <t>Borrower / Sponsor</t>
        </is>
      </c>
      <c r="C168" s="4" t="inlineStr">
        <is>
          <t>Empire Global</t>
        </is>
      </c>
      <c r="D168" s="4" t="inlineStr"/>
      <c r="E168" s="4" t="inlineStr">
        <is>
          <t>pete@empireglobal.co.uk</t>
        </is>
      </c>
      <c r="F168" s="4" t="inlineStr"/>
      <c r="G168" s="6" t="inlineStr">
        <is>
          <t>2025-06-03</t>
        </is>
      </c>
      <c r="H168" s="6" t="inlineStr">
        <is>
          <t>2025-06-03</t>
        </is>
      </c>
      <c r="I168" s="6" t="n">
        <v>0</v>
      </c>
      <c r="J168" s="6" t="n">
        <v>0</v>
      </c>
      <c r="K168" s="8" t="inlineStr">
        <is>
          <t>Named in a thread</t>
        </is>
      </c>
      <c r="L168" s="7" t="inlineStr">
        <is>
          <t>Supplied the Colonnade Hotel trading projections for a hotel financing.</t>
        </is>
      </c>
    </row>
    <row r="169">
      <c r="A169" s="4" t="inlineStr">
        <is>
          <t>Yash Hindocha</t>
        </is>
      </c>
      <c r="B169" s="10" t="inlineStr">
        <is>
          <t>Borrower / Sponsor</t>
        </is>
      </c>
      <c r="C169" s="4" t="inlineStr">
        <is>
          <t>Hindocha &amp; Co</t>
        </is>
      </c>
      <c r="D169" s="4" t="inlineStr">
        <is>
          <t>Chartered Accountant / principal contact for Anahi Properties Ltd</t>
        </is>
      </c>
      <c r="E169" s="4" t="inlineStr">
        <is>
          <t>yash@hindocha.co.uk</t>
        </is>
      </c>
      <c r="F169" s="4" t="inlineStr">
        <is>
          <t>020 8952 9591</t>
        </is>
      </c>
      <c r="G169" s="6" t="inlineStr">
        <is>
          <t>2026-07-07</t>
        </is>
      </c>
      <c r="H169" s="6" t="inlineStr">
        <is>
          <t>2026-07-20</t>
        </is>
      </c>
      <c r="I169" s="6" t="n">
        <v>2</v>
      </c>
      <c r="J169" s="6" t="n">
        <v>0</v>
      </c>
      <c r="K169" s="4" t="inlineStr">
        <is>
          <t>Direct correspondence</t>
        </is>
      </c>
      <c r="L169" s="7" t="inlineStr">
        <is>
          <t>Sponsor behind Anahi Properties / Ashray Holdings; took REL terms on Houndswood House (£950k gross) before funding it via family and friends. Runs Hindocha &amp; Co, chartered accountants in Edgware</t>
        </is>
      </c>
    </row>
    <row r="170">
      <c r="A170" s="4" t="inlineStr">
        <is>
          <t>Davina Desai</t>
        </is>
      </c>
      <c r="B170" s="10" t="inlineStr">
        <is>
          <t>Borrower / Sponsor</t>
        </is>
      </c>
      <c r="C170" s="4" t="inlineStr">
        <is>
          <t>IPCA Group</t>
        </is>
      </c>
      <c r="D170" s="4" t="inlineStr"/>
      <c r="E170" s="4" t="inlineStr">
        <is>
          <t>davina.desai@ipcagroup.com</t>
        </is>
      </c>
      <c r="F170" s="4" t="inlineStr"/>
      <c r="G170" s="6" t="inlineStr">
        <is>
          <t>2026-07-06</t>
        </is>
      </c>
      <c r="H170" s="6" t="inlineStr">
        <is>
          <t>2026-09-11</t>
        </is>
      </c>
      <c r="I170" s="6" t="n">
        <v>0</v>
      </c>
      <c r="J170" s="6" t="n">
        <v>0</v>
      </c>
      <c r="K170" s="8" t="inlineStr">
        <is>
          <t>Named in a thread</t>
        </is>
      </c>
      <c r="L170" s="7" t="inlineStr">
        <is>
          <t>IPCA Group contact alongside Jignesh Desai</t>
        </is>
      </c>
    </row>
    <row r="171">
      <c r="A171" s="4" t="inlineStr">
        <is>
          <t>Jignesh Desai</t>
        </is>
      </c>
      <c r="B171" s="10" t="inlineStr">
        <is>
          <t>Borrower / Sponsor</t>
        </is>
      </c>
      <c r="C171" s="4" t="inlineStr">
        <is>
          <t>IPCA Group</t>
        </is>
      </c>
      <c r="D171" s="4" t="inlineStr">
        <is>
          <t>Managing Director</t>
        </is>
      </c>
      <c r="E171" s="4" t="inlineStr">
        <is>
          <t>jignesh@ipcagroup.com</t>
        </is>
      </c>
      <c r="F171" s="4" t="inlineStr">
        <is>
          <t>+44 7887 712 463</t>
        </is>
      </c>
      <c r="G171" s="6" t="inlineStr">
        <is>
          <t>2026-07-06</t>
        </is>
      </c>
      <c r="H171" s="6" t="inlineStr">
        <is>
          <t>2026-09-11</t>
        </is>
      </c>
      <c r="I171" s="6" t="n">
        <v>9</v>
      </c>
      <c r="J171" s="6" t="n">
        <v>0</v>
      </c>
      <c r="K171" s="4" t="inlineStr">
        <is>
          <t>Direct correspondence</t>
        </is>
      </c>
      <c r="L171" s="7" t="inlineStr">
        <is>
          <t>Active finance discussion with REL including the Moove transaction</t>
        </is>
      </c>
    </row>
    <row r="172">
      <c r="A172" s="4" t="inlineStr">
        <is>
          <t>Preena Desai</t>
        </is>
      </c>
      <c r="B172" s="10" t="inlineStr">
        <is>
          <t>Borrower / Sponsor</t>
        </is>
      </c>
      <c r="C172" s="4" t="inlineStr">
        <is>
          <t>IPCA Group</t>
        </is>
      </c>
      <c r="D172" s="4" t="inlineStr"/>
      <c r="E172" s="4" t="inlineStr">
        <is>
          <t>preena.desai@ipcagroup.com</t>
        </is>
      </c>
      <c r="F172" s="4" t="inlineStr"/>
      <c r="G172" s="6" t="inlineStr">
        <is>
          <t>2026-07-06</t>
        </is>
      </c>
      <c r="H172" s="6" t="inlineStr">
        <is>
          <t>2026-09-11</t>
        </is>
      </c>
      <c r="I172" s="6" t="n">
        <v>0</v>
      </c>
      <c r="J172" s="6" t="n">
        <v>0</v>
      </c>
      <c r="K172" s="8" t="inlineStr">
        <is>
          <t>Named in a thread</t>
        </is>
      </c>
      <c r="L172" s="7" t="inlineStr">
        <is>
          <t>IPCA Group contact alongside Jignesh Desai</t>
        </is>
      </c>
    </row>
    <row r="173">
      <c r="A173" s="4" t="inlineStr">
        <is>
          <t>Ajay Laxman</t>
        </is>
      </c>
      <c r="B173" s="10" t="inlineStr">
        <is>
          <t>Borrower / Sponsor</t>
        </is>
      </c>
      <c r="C173" s="4" t="inlineStr">
        <is>
          <t>JMK Group</t>
        </is>
      </c>
      <c r="D173" s="4" t="inlineStr"/>
      <c r="E173" s="4" t="inlineStr">
        <is>
          <t>ajaylaxman@jmk-group.co.uk</t>
        </is>
      </c>
      <c r="F173" s="4" t="inlineStr"/>
      <c r="G173" s="6" t="inlineStr">
        <is>
          <t>2026-07-15</t>
        </is>
      </c>
      <c r="H173" s="6" t="inlineStr">
        <is>
          <t>2026-07-15</t>
        </is>
      </c>
      <c r="I173" s="6" t="n">
        <v>0</v>
      </c>
      <c r="J173" s="6" t="n">
        <v>0</v>
      </c>
      <c r="K173" s="8" t="inlineStr">
        <is>
          <t>Named in a thread</t>
        </is>
      </c>
      <c r="L173" s="7" t="inlineStr"/>
    </row>
    <row r="174">
      <c r="A174" s="4" t="inlineStr">
        <is>
          <t>Harry Chapman</t>
        </is>
      </c>
      <c r="B174" s="10" t="inlineStr">
        <is>
          <t>Borrower / Sponsor</t>
        </is>
      </c>
      <c r="C174" s="4" t="inlineStr">
        <is>
          <t>Latium Group</t>
        </is>
      </c>
      <c r="D174" s="4" t="inlineStr"/>
      <c r="E174" s="4" t="inlineStr">
        <is>
          <t>harry.chapman@latium.co.uk</t>
        </is>
      </c>
      <c r="F174" s="4" t="inlineStr"/>
      <c r="G174" s="6" t="inlineStr">
        <is>
          <t>2026-04-10</t>
        </is>
      </c>
      <c r="H174" s="6" t="inlineStr">
        <is>
          <t>2026-04-10</t>
        </is>
      </c>
      <c r="I174" s="6" t="n">
        <v>0</v>
      </c>
      <c r="J174" s="6" t="n">
        <v>0</v>
      </c>
      <c r="K174" s="8" t="inlineStr">
        <is>
          <t>Named in a thread</t>
        </is>
      </c>
      <c r="L174" s="7" t="inlineStr">
        <is>
          <t>Latium's contact on the 22-24 Southwark Bridge Road bridge facility</t>
        </is>
      </c>
    </row>
    <row r="175">
      <c r="A175" s="4" t="inlineStr">
        <is>
          <t>Reis</t>
        </is>
      </c>
      <c r="B175" s="10" t="inlineStr">
        <is>
          <t>Borrower / Sponsor</t>
        </is>
      </c>
      <c r="C175" s="4" t="inlineStr">
        <is>
          <t>Lock Terrace</t>
        </is>
      </c>
      <c r="D175" s="4" t="inlineStr"/>
      <c r="E175" s="4" t="inlineStr">
        <is>
          <t>reis@lockterrace.com</t>
        </is>
      </c>
      <c r="F175" s="4" t="inlineStr"/>
      <c r="G175" s="6" t="inlineStr">
        <is>
          <t>2026-07-07</t>
        </is>
      </c>
      <c r="H175" s="6" t="inlineStr">
        <is>
          <t>2026-07-07</t>
        </is>
      </c>
      <c r="I175" s="6" t="n">
        <v>0</v>
      </c>
      <c r="J175" s="6" t="n">
        <v>0</v>
      </c>
      <c r="K175" s="8" t="inlineStr">
        <is>
          <t>Named in a thread</t>
        </is>
      </c>
      <c r="L175" s="7" t="inlineStr"/>
    </row>
    <row r="176">
      <c r="A176" s="4" t="inlineStr">
        <is>
          <t>Salman</t>
        </is>
      </c>
      <c r="B176" s="10" t="inlineStr">
        <is>
          <t>Borrower / Sponsor</t>
        </is>
      </c>
      <c r="C176" s="4" t="inlineStr">
        <is>
          <t>Lock Terrace</t>
        </is>
      </c>
      <c r="D176" s="4" t="inlineStr"/>
      <c r="E176" s="4" t="inlineStr">
        <is>
          <t>salman@lockterrace.com</t>
        </is>
      </c>
      <c r="F176" s="4" t="inlineStr"/>
      <c r="G176" s="6" t="inlineStr">
        <is>
          <t>2026-07-07</t>
        </is>
      </c>
      <c r="H176" s="6" t="inlineStr">
        <is>
          <t>2026-07-07</t>
        </is>
      </c>
      <c r="I176" s="6" t="n">
        <v>0</v>
      </c>
      <c r="J176" s="6" t="n">
        <v>0</v>
      </c>
      <c r="K176" s="8" t="inlineStr">
        <is>
          <t>Named in a thread</t>
        </is>
      </c>
      <c r="L176" s="7" t="inlineStr"/>
    </row>
    <row r="177">
      <c r="A177" s="4" t="inlineStr">
        <is>
          <t>Tariq</t>
        </is>
      </c>
      <c r="B177" s="10" t="inlineStr">
        <is>
          <t>Borrower / Sponsor</t>
        </is>
      </c>
      <c r="C177" s="4" t="inlineStr">
        <is>
          <t>Lock Terrace</t>
        </is>
      </c>
      <c r="D177" s="4" t="inlineStr"/>
      <c r="E177" s="4" t="inlineStr">
        <is>
          <t>tariq@lockterrace.com</t>
        </is>
      </c>
      <c r="F177" s="4" t="inlineStr"/>
      <c r="G177" s="6" t="inlineStr">
        <is>
          <t>2026-07-07</t>
        </is>
      </c>
      <c r="H177" s="6" t="inlineStr">
        <is>
          <t>2026-07-07</t>
        </is>
      </c>
      <c r="I177" s="6" t="n">
        <v>0</v>
      </c>
      <c r="J177" s="6" t="n">
        <v>0</v>
      </c>
      <c r="K177" s="8" t="inlineStr">
        <is>
          <t>Named in a thread</t>
        </is>
      </c>
      <c r="L177" s="7" t="inlineStr"/>
    </row>
    <row r="178">
      <c r="A178" s="4" t="inlineStr">
        <is>
          <t>Daniela Guberova</t>
        </is>
      </c>
      <c r="B178" s="10" t="inlineStr">
        <is>
          <t>Borrower / Sponsor</t>
        </is>
      </c>
      <c r="C178" s="4" t="inlineStr">
        <is>
          <t>London Land Group</t>
        </is>
      </c>
      <c r="D178" s="4" t="inlineStr">
        <is>
          <t>Group Financial Controller</t>
        </is>
      </c>
      <c r="E178" s="4" t="inlineStr">
        <is>
          <t>dguberova@londonland.group</t>
        </is>
      </c>
      <c r="F178" s="4" t="inlineStr">
        <is>
          <t>+44 7814 681502</t>
        </is>
      </c>
      <c r="G178" s="6" t="inlineStr">
        <is>
          <t>2026-03-23</t>
        </is>
      </c>
      <c r="H178" s="6" t="inlineStr">
        <is>
          <t>2026-03-24</t>
        </is>
      </c>
      <c r="I178" s="6" t="n">
        <v>3</v>
      </c>
      <c r="J178" s="6" t="n">
        <v>0</v>
      </c>
      <c r="K178" s="4" t="inlineStr">
        <is>
          <t>Direct correspondence</t>
        </is>
      </c>
      <c r="L178" s="7" t="inlineStr">
        <is>
          <t>Provides KYC and financial information for London Land's Bromley facility</t>
        </is>
      </c>
    </row>
    <row r="179">
      <c r="A179" s="4" t="inlineStr">
        <is>
          <t>Mario Luca Balducci</t>
        </is>
      </c>
      <c r="B179" s="10" t="inlineStr">
        <is>
          <t>Borrower / Sponsor</t>
        </is>
      </c>
      <c r="C179" s="4" t="inlineStr">
        <is>
          <t>London Land Group</t>
        </is>
      </c>
      <c r="D179" s="4" t="inlineStr">
        <is>
          <t>Chief Executive Officer</t>
        </is>
      </c>
      <c r="E179" s="4" t="inlineStr">
        <is>
          <t>mbalducci@londonland.group</t>
        </is>
      </c>
      <c r="F179" s="4" t="inlineStr"/>
      <c r="G179" s="6" t="inlineStr">
        <is>
          <t>2026-02-24</t>
        </is>
      </c>
      <c r="H179" s="6" t="inlineStr">
        <is>
          <t>2026-03-24</t>
        </is>
      </c>
      <c r="I179" s="6" t="n">
        <v>1</v>
      </c>
      <c r="J179" s="6" t="n">
        <v>0</v>
      </c>
      <c r="K179" s="4" t="inlineStr">
        <is>
          <t>Direct correspondence</t>
        </is>
      </c>
      <c r="L179" s="7" t="inlineStr">
        <is>
          <t>Sponsor principal on the REL / London Land Bromley deal</t>
        </is>
      </c>
    </row>
    <row r="180">
      <c r="A180" s="4" t="inlineStr">
        <is>
          <t>Nugen Group</t>
        </is>
      </c>
      <c r="B180" s="10" t="inlineStr">
        <is>
          <t>Borrower / Sponsor</t>
        </is>
      </c>
      <c r="C180" s="4" t="inlineStr">
        <is>
          <t>Nugen Group</t>
        </is>
      </c>
      <c r="D180" s="4" t="inlineStr"/>
      <c r="E180" s="4" t="inlineStr">
        <is>
          <t>info@nugen-group.co.uk</t>
        </is>
      </c>
      <c r="F180" s="4" t="inlineStr"/>
      <c r="G180" s="6" t="inlineStr">
        <is>
          <t>2025-06-03</t>
        </is>
      </c>
      <c r="H180" s="6" t="inlineStr">
        <is>
          <t>2025-06-03</t>
        </is>
      </c>
      <c r="I180" s="6" t="n">
        <v>0</v>
      </c>
      <c r="J180" s="6" t="n">
        <v>0</v>
      </c>
      <c r="K180" s="8" t="inlineStr">
        <is>
          <t>Named in a thread</t>
        </is>
      </c>
      <c r="L180" s="7" t="inlineStr">
        <is>
          <t>Developer enquiry on Hickstead &amp; Grovefield hotels</t>
        </is>
      </c>
    </row>
    <row r="181">
      <c r="A181" s="4" t="inlineStr">
        <is>
          <t>Rishi Passi</t>
        </is>
      </c>
      <c r="B181" s="10" t="inlineStr">
        <is>
          <t>Borrower / Sponsor</t>
        </is>
      </c>
      <c r="C181" s="4" t="inlineStr">
        <is>
          <t>Oblix Living</t>
        </is>
      </c>
      <c r="D181" s="4" t="inlineStr"/>
      <c r="E181" s="4" t="inlineStr">
        <is>
          <t>rishi@oblixliving.com</t>
        </is>
      </c>
      <c r="F181" s="4" t="inlineStr"/>
      <c r="G181" s="6" t="inlineStr">
        <is>
          <t>2026-06-15</t>
        </is>
      </c>
      <c r="H181" s="6" t="inlineStr">
        <is>
          <t>2026-06-16</t>
        </is>
      </c>
      <c r="I181" s="6" t="n">
        <v>1</v>
      </c>
      <c r="J181" s="6" t="n">
        <v>0</v>
      </c>
      <c r="K181" s="4" t="inlineStr">
        <is>
          <t>Direct correspondence</t>
        </is>
      </c>
      <c r="L181" s="7" t="inlineStr">
        <is>
          <t>Bidding on a Manchester office and discussing acquisition finance with REL</t>
        </is>
      </c>
    </row>
    <row r="182">
      <c r="A182" s="4" t="inlineStr">
        <is>
          <t>Rishi Khurana</t>
        </is>
      </c>
      <c r="B182" s="10" t="inlineStr">
        <is>
          <t>Borrower / Sponsor</t>
        </is>
      </c>
      <c r="C182" s="4" t="inlineStr">
        <is>
          <t>Purestone Capital</t>
        </is>
      </c>
      <c r="D182" s="4" t="inlineStr">
        <is>
          <t>Partner</t>
        </is>
      </c>
      <c r="E182" s="4" t="inlineStr">
        <is>
          <t>rishi@purestone.uk</t>
        </is>
      </c>
      <c r="F182" s="4" t="inlineStr">
        <is>
          <t>+44 7946 258 420</t>
        </is>
      </c>
      <c r="G182" s="6" t="inlineStr">
        <is>
          <t>2026-04-14</t>
        </is>
      </c>
      <c r="H182" s="6" t="inlineStr">
        <is>
          <t>2026-05-26</t>
        </is>
      </c>
      <c r="I182" s="6" t="n">
        <v>35</v>
      </c>
      <c r="J182" s="6" t="n">
        <v>0</v>
      </c>
      <c r="K182" s="4" t="inlineStr">
        <is>
          <t>Direct correspondence</t>
        </is>
      </c>
      <c r="L182" s="7" t="inlineStr">
        <is>
          <t>Very active sponsor contact on the 80-85 Tottenham Court Road bridge and the mezzanine finance book</t>
        </is>
      </c>
    </row>
    <row r="183">
      <c r="A183" s="4" t="inlineStr">
        <is>
          <t>Anand Morjaria</t>
        </is>
      </c>
      <c r="B183" s="10" t="inlineStr">
        <is>
          <t>Borrower / Sponsor</t>
        </is>
      </c>
      <c r="C183" s="4" t="inlineStr">
        <is>
          <t>Raam Healthcare</t>
        </is>
      </c>
      <c r="D183" s="4" t="inlineStr"/>
      <c r="E183" s="4" t="inlineStr">
        <is>
          <t>anand@raamhealthcare.com</t>
        </is>
      </c>
      <c r="F183" s="4" t="inlineStr"/>
      <c r="G183" s="6" t="inlineStr">
        <is>
          <t>2026-07-10</t>
        </is>
      </c>
      <c r="H183" s="6" t="inlineStr">
        <is>
          <t>2026-07-16</t>
        </is>
      </c>
      <c r="I183" s="6" t="n">
        <v>0</v>
      </c>
      <c r="J183" s="6" t="n">
        <v>0</v>
      </c>
      <c r="K183" s="8" t="inlineStr">
        <is>
          <t>Named in a thread</t>
        </is>
      </c>
      <c r="L183" s="7" t="inlineStr">
        <is>
          <t>On the Raam Healthcare bridging loan enquiry</t>
        </is>
      </c>
    </row>
    <row r="184">
      <c r="A184" s="4" t="inlineStr">
        <is>
          <t>Anshul Morjaria</t>
        </is>
      </c>
      <c r="B184" s="10" t="inlineStr">
        <is>
          <t>Borrower / Sponsor</t>
        </is>
      </c>
      <c r="C184" s="4" t="inlineStr">
        <is>
          <t>Raam Healthcare</t>
        </is>
      </c>
      <c r="D184" s="4" t="inlineStr"/>
      <c r="E184" s="4" t="inlineStr">
        <is>
          <t>anshul@raamhealthcare.com</t>
        </is>
      </c>
      <c r="F184" s="4" t="inlineStr"/>
      <c r="G184" s="6" t="inlineStr">
        <is>
          <t>2026-07-10</t>
        </is>
      </c>
      <c r="H184" s="6" t="inlineStr">
        <is>
          <t>2026-07-16</t>
        </is>
      </c>
      <c r="I184" s="6" t="n">
        <v>0</v>
      </c>
      <c r="J184" s="6" t="n">
        <v>0</v>
      </c>
      <c r="K184" s="8" t="inlineStr">
        <is>
          <t>Named in a thread</t>
        </is>
      </c>
      <c r="L184" s="7" t="inlineStr">
        <is>
          <t>On the Raam Healthcare bridging loan enquiry</t>
        </is>
      </c>
    </row>
    <row r="185">
      <c r="A185" s="4" t="inlineStr">
        <is>
          <t>Rohit Morjaria</t>
        </is>
      </c>
      <c r="B185" s="10" t="inlineStr">
        <is>
          <t>Borrower / Sponsor</t>
        </is>
      </c>
      <c r="C185" s="4" t="inlineStr">
        <is>
          <t>Raam Healthcare</t>
        </is>
      </c>
      <c r="D185" s="4" t="inlineStr"/>
      <c r="E185" s="4" t="inlineStr">
        <is>
          <t>rohit@raamhealthcare.com</t>
        </is>
      </c>
      <c r="F185" s="4" t="inlineStr"/>
      <c r="G185" s="6" t="inlineStr">
        <is>
          <t>2026-07-10</t>
        </is>
      </c>
      <c r="H185" s="6" t="inlineStr">
        <is>
          <t>2026-07-16</t>
        </is>
      </c>
      <c r="I185" s="6" t="n">
        <v>1</v>
      </c>
      <c r="J185" s="6" t="n">
        <v>0</v>
      </c>
      <c r="K185" s="4" t="inlineStr">
        <is>
          <t>Direct correspondence</t>
        </is>
      </c>
      <c r="L185" s="7" t="inlineStr">
        <is>
          <t>Bridging loan enquiry for Raam Healthcare</t>
        </is>
      </c>
    </row>
    <row r="186">
      <c r="A186" s="4" t="inlineStr">
        <is>
          <t>Adnan Adil</t>
        </is>
      </c>
      <c r="B186" s="10" t="inlineStr">
        <is>
          <t>Borrower / Sponsor</t>
        </is>
      </c>
      <c r="C186" s="4" t="inlineStr">
        <is>
          <t>Rasmala</t>
        </is>
      </c>
      <c r="D186" s="4" t="inlineStr"/>
      <c r="E186" s="4" t="inlineStr">
        <is>
          <t>adnan.adil@rasmala.com</t>
        </is>
      </c>
      <c r="F186" s="4" t="inlineStr"/>
      <c r="G186" s="6" t="inlineStr">
        <is>
          <t>2025-07-15</t>
        </is>
      </c>
      <c r="H186" s="6" t="inlineStr">
        <is>
          <t>2026-03-24</t>
        </is>
      </c>
      <c r="I186" s="6" t="n">
        <v>0</v>
      </c>
      <c r="J186" s="6" t="n">
        <v>0</v>
      </c>
      <c r="K186" s="8" t="inlineStr">
        <is>
          <t>Named in a thread</t>
        </is>
      </c>
      <c r="L186" s="7" t="inlineStr">
        <is>
          <t>Rasmala colleague on the Oryx 2 / Doxford refinancing and EE Doxford reports</t>
        </is>
      </c>
    </row>
    <row r="187">
      <c r="A187" s="4" t="inlineStr">
        <is>
          <t>Henry Sarkisov</t>
        </is>
      </c>
      <c r="B187" s="10" t="inlineStr">
        <is>
          <t>Borrower / Sponsor</t>
        </is>
      </c>
      <c r="C187" s="4" t="inlineStr">
        <is>
          <t>Rasmala</t>
        </is>
      </c>
      <c r="D187" s="4" t="inlineStr"/>
      <c r="E187" s="4" t="inlineStr">
        <is>
          <t>henry.sarkisov@rasmala.com</t>
        </is>
      </c>
      <c r="F187" s="4" t="inlineStr"/>
      <c r="G187" s="6" t="inlineStr">
        <is>
          <t>2026-02-18</t>
        </is>
      </c>
      <c r="H187" s="6" t="inlineStr">
        <is>
          <t>2026-03-24</t>
        </is>
      </c>
      <c r="I187" s="6" t="n">
        <v>4</v>
      </c>
      <c r="J187" s="6" t="n">
        <v>0</v>
      </c>
      <c r="K187" s="4" t="inlineStr">
        <is>
          <t>Direct correspondence</t>
        </is>
      </c>
      <c r="L187" s="7" t="inlineStr">
        <is>
          <t>Borrower-side lead on Oryx 2 Real Estate / Doxford, refinancing out of REL via Ortus Secured Finance</t>
        </is>
      </c>
    </row>
    <row r="188">
      <c r="A188" s="4" t="inlineStr">
        <is>
          <t>Henry Hales</t>
        </is>
      </c>
      <c r="B188" s="10" t="inlineStr">
        <is>
          <t>Borrower / Sponsor</t>
        </is>
      </c>
      <c r="C188" s="4" t="inlineStr">
        <is>
          <t>SIRPLUS</t>
        </is>
      </c>
      <c r="D188" s="4" t="inlineStr">
        <is>
          <t>Director</t>
        </is>
      </c>
      <c r="E188" s="4" t="inlineStr">
        <is>
          <t>henry@sirplus.co.uk</t>
        </is>
      </c>
      <c r="F188" s="4" t="inlineStr">
        <is>
          <t>020 3935 6988</t>
        </is>
      </c>
      <c r="G188" s="6" t="inlineStr">
        <is>
          <t>2026-08-13</t>
        </is>
      </c>
      <c r="H188" s="6" t="inlineStr">
        <is>
          <t>2026-09-04</t>
        </is>
      </c>
      <c r="I188" s="6" t="n">
        <v>0</v>
      </c>
      <c r="J188" s="6" t="n">
        <v>0</v>
      </c>
      <c r="K188" s="8" t="inlineStr">
        <is>
          <t>Named in a thread</t>
        </is>
      </c>
      <c r="L188" s="7" t="inlineStr">
        <is>
          <t>Seeking £2.5m to buy the remaining 25% of HF Hales and Sons, a Coventry light-industrial landlord (two estates plus four standalone assets, NAV c.£10.5m, no debt); security would be 55% of the shares. Also founded SIRPLUS, Tu Pack, Compane and Cashmere and Cotton.</t>
        </is>
      </c>
    </row>
    <row r="189">
      <c r="A189" s="4" t="inlineStr">
        <is>
          <t>Vijay Bhandari</t>
        </is>
      </c>
      <c r="B189" s="10" t="inlineStr">
        <is>
          <t>Borrower / Sponsor</t>
        </is>
      </c>
      <c r="C189" s="4" t="inlineStr">
        <is>
          <t>Uno Hotels</t>
        </is>
      </c>
      <c r="D189" s="4" t="inlineStr"/>
      <c r="E189" s="4" t="inlineStr">
        <is>
          <t>vijay@unohotels.com</t>
        </is>
      </c>
      <c r="F189" s="4" t="inlineStr"/>
      <c r="G189" s="6" t="inlineStr">
        <is>
          <t>2025-05-06</t>
        </is>
      </c>
      <c r="H189" s="6" t="inlineStr">
        <is>
          <t>2026-04-27</t>
        </is>
      </c>
      <c r="I189" s="6" t="n">
        <v>0</v>
      </c>
      <c r="J189" s="6" t="n">
        <v>0</v>
      </c>
      <c r="K189" s="8" t="inlineStr">
        <is>
          <t>Named in a thread</t>
        </is>
      </c>
      <c r="L189" s="7" t="inlineStr">
        <is>
          <t>Hotel sponsor; Hickstead &amp; Grovefield loan extension and Uno Thames Hotel terms</t>
        </is>
      </c>
    </row>
    <row r="190">
      <c r="A190" s="4" t="inlineStr">
        <is>
          <t>Manraj Padda</t>
        </is>
      </c>
      <c r="B190" s="10" t="inlineStr">
        <is>
          <t>Borrower / Sponsor</t>
        </is>
      </c>
      <c r="C190" s="4" t="inlineStr">
        <is>
          <t>Westbrook Partners</t>
        </is>
      </c>
      <c r="D190" s="4" t="inlineStr">
        <is>
          <t>Director</t>
        </is>
      </c>
      <c r="E190" s="4" t="inlineStr">
        <is>
          <t>mpadda@westbrookpartners.com</t>
        </is>
      </c>
      <c r="F190" s="4" t="inlineStr">
        <is>
          <t>+44 (0) 20 7659 9458</t>
        </is>
      </c>
      <c r="G190" s="6" t="inlineStr">
        <is>
          <t>2026-04-23</t>
        </is>
      </c>
      <c r="H190" s="6" t="inlineStr">
        <is>
          <t>2026-04-28</t>
        </is>
      </c>
      <c r="I190" s="6" t="n">
        <v>1</v>
      </c>
      <c r="J190" s="6" t="n">
        <v>0</v>
      </c>
      <c r="K190" s="4" t="inlineStr">
        <is>
          <t>Direct correspondence</t>
        </is>
      </c>
      <c r="L190" s="7" t="inlineStr">
        <is>
          <t>Westbrook sponsor contact on 48 Albemarle Street</t>
        </is>
      </c>
    </row>
    <row r="191">
      <c r="A191" s="4" t="inlineStr">
        <is>
          <t>Anders Pals</t>
        </is>
      </c>
      <c r="B191" s="10" t="inlineStr">
        <is>
          <t>Borrower / Sponsor</t>
        </is>
      </c>
      <c r="C191" s="4" t="inlineStr">
        <is>
          <t>Willowtree Inc</t>
        </is>
      </c>
      <c r="D191" s="4" t="inlineStr"/>
      <c r="E191" s="4" t="inlineStr">
        <is>
          <t>anders.pals@willowtreeinc.net</t>
        </is>
      </c>
      <c r="F191" s="4" t="inlineStr"/>
      <c r="G191" s="6" t="inlineStr">
        <is>
          <t>2026-03-27</t>
        </is>
      </c>
      <c r="H191" s="6" t="inlineStr">
        <is>
          <t>2026-03-27</t>
        </is>
      </c>
      <c r="I191" s="6" t="n">
        <v>0</v>
      </c>
      <c r="J191" s="6" t="n">
        <v>0</v>
      </c>
      <c r="K191" s="8" t="inlineStr">
        <is>
          <t>Named in a thread</t>
        </is>
      </c>
      <c r="L191" s="7" t="inlineStr">
        <is>
          <t>Involved in Project Nest, Elephant &amp; Castle, London SE1</t>
        </is>
      </c>
    </row>
    <row r="192">
      <c r="A192" s="4" t="inlineStr">
        <is>
          <t>Alex Andrews</t>
        </is>
      </c>
      <c r="B192" s="11" t="inlineStr">
        <is>
          <t>Investor / Family Office</t>
        </is>
      </c>
      <c r="C192" s="4" t="inlineStr">
        <is>
          <t>Baccata Trustees Limited</t>
        </is>
      </c>
      <c r="D192" s="4" t="inlineStr">
        <is>
          <t>Manager</t>
        </is>
      </c>
      <c r="E192" s="4" t="inlineStr">
        <is>
          <t>aandrews@baccata.co.je</t>
        </is>
      </c>
      <c r="F192" s="4" t="inlineStr">
        <is>
          <t>+44 (0) 1534 870670, +44 (0) 1534 496804</t>
        </is>
      </c>
      <c r="G192" s="6" t="inlineStr">
        <is>
          <t>2026-01-29</t>
        </is>
      </c>
      <c r="H192" s="6" t="inlineStr">
        <is>
          <t>2026-08-27</t>
        </is>
      </c>
      <c r="I192" s="6" t="n">
        <v>5</v>
      </c>
      <c r="J192" s="6" t="n">
        <v>17</v>
      </c>
      <c r="K192" s="4" t="inlineStr">
        <is>
          <t>Direct correspondence</t>
        </is>
      </c>
      <c r="L192" s="7" t="inlineStr">
        <is>
          <t>Baccata trustee contact on 3A Palace Green and Minard Jersey coupon payments</t>
        </is>
      </c>
    </row>
    <row r="193">
      <c r="A193" s="4" t="inlineStr">
        <is>
          <t>Darren English</t>
        </is>
      </c>
      <c r="B193" s="11" t="inlineStr">
        <is>
          <t>Investor / Family Office</t>
        </is>
      </c>
      <c r="C193" s="4" t="inlineStr">
        <is>
          <t>Baccata Trustees Limited</t>
        </is>
      </c>
      <c r="D193" s="4" t="inlineStr"/>
      <c r="E193" s="4" t="inlineStr">
        <is>
          <t>denglish@baccata.co.je</t>
        </is>
      </c>
      <c r="F193" s="4" t="inlineStr"/>
      <c r="G193" s="6" t="inlineStr">
        <is>
          <t>2026-01-29</t>
        </is>
      </c>
      <c r="H193" s="6" t="inlineStr">
        <is>
          <t>2026-06-17</t>
        </is>
      </c>
      <c r="I193" s="6" t="n">
        <v>1</v>
      </c>
      <c r="J193" s="6" t="n">
        <v>0</v>
      </c>
      <c r="K193" s="4" t="inlineStr">
        <is>
          <t>Direct correspondence</t>
        </is>
      </c>
      <c r="L193" s="7" t="inlineStr">
        <is>
          <t>Baccata contact on 3A Palace Green completion and Minard Jersey coupons</t>
        </is>
      </c>
    </row>
    <row r="194">
      <c r="A194" s="4" t="inlineStr">
        <is>
          <t>R Wadsworth</t>
        </is>
      </c>
      <c r="B194" s="11" t="inlineStr">
        <is>
          <t>Investor / Family Office</t>
        </is>
      </c>
      <c r="C194" s="4" t="inlineStr">
        <is>
          <t>Baccata Trustees Limited</t>
        </is>
      </c>
      <c r="D194" s="4" t="inlineStr"/>
      <c r="E194" s="4" t="inlineStr">
        <is>
          <t>rwadsworth@baccata.co.je</t>
        </is>
      </c>
      <c r="F194" s="4" t="inlineStr"/>
      <c r="G194" s="6" t="inlineStr">
        <is>
          <t>2026-01-29</t>
        </is>
      </c>
      <c r="H194" s="6" t="inlineStr">
        <is>
          <t>2026-03-31</t>
        </is>
      </c>
      <c r="I194" s="6" t="n">
        <v>0</v>
      </c>
      <c r="J194" s="6" t="n">
        <v>2</v>
      </c>
      <c r="K194" s="4" t="inlineStr">
        <is>
          <t>Direct correspondence</t>
        </is>
      </c>
      <c r="L194" s="7" t="inlineStr">
        <is>
          <t>Copied on 3A Palace Green completion and loan note correspondence</t>
        </is>
      </c>
    </row>
    <row r="195">
      <c r="A195" s="4" t="inlineStr">
        <is>
          <t>Rebekka Brennan</t>
        </is>
      </c>
      <c r="B195" s="11" t="inlineStr">
        <is>
          <t>Investor / Family Office</t>
        </is>
      </c>
      <c r="C195" s="4" t="inlineStr">
        <is>
          <t>Baccata Trustees Limited</t>
        </is>
      </c>
      <c r="D195" s="4" t="inlineStr">
        <is>
          <t>Administrator</t>
        </is>
      </c>
      <c r="E195" s="4" t="inlineStr">
        <is>
          <t>rbrennan@baccata.co.je</t>
        </is>
      </c>
      <c r="F195" s="4" t="inlineStr">
        <is>
          <t>+44 (0) 1534 870670, +44 (0) 1534 870600</t>
        </is>
      </c>
      <c r="G195" s="6" t="inlineStr">
        <is>
          <t>2026-03-31</t>
        </is>
      </c>
      <c r="H195" s="6" t="inlineStr">
        <is>
          <t>2026-08-27</t>
        </is>
      </c>
      <c r="I195" s="6" t="n">
        <v>9</v>
      </c>
      <c r="J195" s="6" t="n">
        <v>13</v>
      </c>
      <c r="K195" s="4" t="inlineStr">
        <is>
          <t>Direct correspondence</t>
        </is>
      </c>
      <c r="L195" s="7" t="inlineStr">
        <is>
          <t>Administers monthly Minard Jersey coupon and 3A Palace Green loan note payments</t>
        </is>
      </c>
    </row>
    <row r="196">
      <c r="A196" s="4" t="inlineStr">
        <is>
          <t>Sean Kenny</t>
        </is>
      </c>
      <c r="B196" s="11" t="inlineStr">
        <is>
          <t>Investor / Family Office</t>
        </is>
      </c>
      <c r="C196" s="4" t="inlineStr">
        <is>
          <t>Baccata Trustees Limited</t>
        </is>
      </c>
      <c r="D196" s="4" t="inlineStr">
        <is>
          <t>Client Director</t>
        </is>
      </c>
      <c r="E196" s="4" t="inlineStr">
        <is>
          <t>skenny@baccata.co.je</t>
        </is>
      </c>
      <c r="F196" s="4" t="inlineStr">
        <is>
          <t>+44 (0) 1534 870670</t>
        </is>
      </c>
      <c r="G196" s="6" t="inlineStr">
        <is>
          <t>2026-01-29</t>
        </is>
      </c>
      <c r="H196" s="6" t="inlineStr">
        <is>
          <t>2026-08-27</t>
        </is>
      </c>
      <c r="I196" s="6" t="n">
        <v>12</v>
      </c>
      <c r="J196" s="6" t="n">
        <v>17</v>
      </c>
      <c r="K196" s="4" t="inlineStr">
        <is>
          <t>Direct correspondence</t>
        </is>
      </c>
      <c r="L196" s="7" t="inlineStr">
        <is>
          <t>Jersey trustee lead on 3A Palace Green loan note and Minard Jersey coupons</t>
        </is>
      </c>
    </row>
    <row r="197">
      <c r="A197" s="4" t="inlineStr">
        <is>
          <t>Sienna De Freitas</t>
        </is>
      </c>
      <c r="B197" s="11" t="inlineStr">
        <is>
          <t>Investor / Family Office</t>
        </is>
      </c>
      <c r="C197" s="4" t="inlineStr">
        <is>
          <t>Baccata Trustees Limited</t>
        </is>
      </c>
      <c r="D197" s="4" t="inlineStr">
        <is>
          <t>Administrator</t>
        </is>
      </c>
      <c r="E197" s="4" t="inlineStr">
        <is>
          <t>sdefreitas@baccata.co.je</t>
        </is>
      </c>
      <c r="F197" s="4" t="inlineStr">
        <is>
          <t>+44 (0) 1534 870670</t>
        </is>
      </c>
      <c r="G197" s="6" t="inlineStr">
        <is>
          <t>2026-03-31</t>
        </is>
      </c>
      <c r="H197" s="6" t="inlineStr">
        <is>
          <t>2026-04-01</t>
        </is>
      </c>
      <c r="I197" s="6" t="n">
        <v>4</v>
      </c>
      <c r="J197" s="6" t="n">
        <v>0</v>
      </c>
      <c r="K197" s="4" t="inlineStr">
        <is>
          <t>Direct correspondence</t>
        </is>
      </c>
      <c r="L197" s="7" t="inlineStr">
        <is>
          <t>Handles Morka Holdings Ltd coupon payments</t>
        </is>
      </c>
    </row>
    <row r="198">
      <c r="A198" s="4" t="inlineStr">
        <is>
          <t>Ajay Gokani</t>
        </is>
      </c>
      <c r="B198" s="11" t="inlineStr">
        <is>
          <t>Investor / Family Office</t>
        </is>
      </c>
      <c r="C198" s="4" t="inlineStr">
        <is>
          <t>Elite Mobile</t>
        </is>
      </c>
      <c r="D198" s="4" t="inlineStr"/>
      <c r="E198" s="4" t="inlineStr">
        <is>
          <t>ajay@elitemobile.com</t>
        </is>
      </c>
      <c r="F198" s="4" t="inlineStr">
        <is>
          <t>+44 (0) 208 799 8001, +44 (0) 20 8799 8000</t>
        </is>
      </c>
      <c r="G198" s="6" t="inlineStr">
        <is>
          <t>2026-01-29</t>
        </is>
      </c>
      <c r="H198" s="6" t="inlineStr">
        <is>
          <t>2026-08-27</t>
        </is>
      </c>
      <c r="I198" s="6" t="n">
        <v>2</v>
      </c>
      <c r="J198" s="6" t="n">
        <v>15</v>
      </c>
      <c r="K198" s="4" t="inlineStr">
        <is>
          <t>Direct correspondence</t>
        </is>
      </c>
      <c r="L198" s="7" t="inlineStr">
        <is>
          <t>REL investor - approves facility extensions and reinvests redemptions (Oryx 2, DNA Uxbridge, St Clements House).</t>
        </is>
      </c>
    </row>
    <row r="199">
      <c r="A199" s="4" t="inlineStr">
        <is>
          <t>Mihir Gokani</t>
        </is>
      </c>
      <c r="B199" s="11" t="inlineStr">
        <is>
          <t>Investor / Family Office</t>
        </is>
      </c>
      <c r="C199" s="4" t="inlineStr">
        <is>
          <t>Elite Mobile</t>
        </is>
      </c>
      <c r="D199" s="4" t="inlineStr"/>
      <c r="E199" s="4" t="inlineStr">
        <is>
          <t>mihir@elitemobile.com</t>
        </is>
      </c>
      <c r="F199" s="4" t="inlineStr"/>
      <c r="G199" s="6" t="inlineStr">
        <is>
          <t>2026-01-29</t>
        </is>
      </c>
      <c r="H199" s="6" t="inlineStr">
        <is>
          <t>2026-08-27</t>
        </is>
      </c>
      <c r="I199" s="6" t="n">
        <v>0</v>
      </c>
      <c r="J199" s="6" t="n">
        <v>8</v>
      </c>
      <c r="K199" s="4" t="inlineStr">
        <is>
          <t>Direct correspondence</t>
        </is>
      </c>
      <c r="L199" s="7" t="inlineStr">
        <is>
          <t>Elite Mobile side of the Chotilal Lakhani REL bond interest payments.</t>
        </is>
      </c>
    </row>
    <row r="200">
      <c r="A200" s="4" t="inlineStr">
        <is>
          <t>Sarit Raja-Shah</t>
        </is>
      </c>
      <c r="B200" s="11" t="inlineStr">
        <is>
          <t>Investor / Family Office</t>
        </is>
      </c>
      <c r="C200" s="4" t="inlineStr">
        <is>
          <t>I&amp;M Bank</t>
        </is>
      </c>
      <c r="D200" s="4" t="inlineStr"/>
      <c r="E200" s="4" t="inlineStr">
        <is>
          <t>ssrajashah@imbank.co.ke</t>
        </is>
      </c>
      <c r="F200" s="4" t="inlineStr"/>
      <c r="G200" s="6" t="inlineStr">
        <is>
          <t>2026-01-29</t>
        </is>
      </c>
      <c r="H200" s="6" t="inlineStr">
        <is>
          <t>2026-08-27</t>
        </is>
      </c>
      <c r="I200" s="6" t="n">
        <v>4</v>
      </c>
      <c r="J200" s="6" t="n">
        <v>15</v>
      </c>
      <c r="K200" s="4" t="inlineStr">
        <is>
          <t>Direct correspondence</t>
        </is>
      </c>
      <c r="L200" s="7" t="inlineStr">
        <is>
          <t>REL shareholder; signs off on recycling shareholder funds (Oryx 2 redemption, Bromley, DNA Uxbridge) and receives REL management accounts</t>
        </is>
      </c>
    </row>
    <row r="201">
      <c r="A201" s="4" t="inlineStr">
        <is>
          <t>Hemlata / Jay</t>
        </is>
      </c>
      <c r="B201" s="11" t="inlineStr">
        <is>
          <t>Investor / Family Office</t>
        </is>
      </c>
      <c r="C201" s="4" t="inlineStr">
        <is>
          <t>Jarishka</t>
        </is>
      </c>
      <c r="D201" s="4" t="inlineStr"/>
      <c r="E201" s="4" t="inlineStr">
        <is>
          <t>jaynbi27@gmail.com</t>
        </is>
      </c>
      <c r="F201" s="4" t="inlineStr"/>
      <c r="G201" s="6" t="inlineStr">
        <is>
          <t>2026-02-25</t>
        </is>
      </c>
      <c r="H201" s="6" t="inlineStr">
        <is>
          <t>2026-08-27</t>
        </is>
      </c>
      <c r="I201" s="6" t="n">
        <v>0</v>
      </c>
      <c r="J201" s="6" t="n">
        <v>7</v>
      </c>
      <c r="K201" s="4" t="inlineStr">
        <is>
          <t>Direct correspondence</t>
        </is>
      </c>
      <c r="L201" s="7" t="inlineStr">
        <is>
          <t>Receives monthly 3A Palace Green loan note statements</t>
        </is>
      </c>
    </row>
    <row r="202">
      <c r="A202" s="4" t="inlineStr">
        <is>
          <t>Ketan Morjaria</t>
        </is>
      </c>
      <c r="B202" s="11" t="inlineStr">
        <is>
          <t>Investor / Family Office</t>
        </is>
      </c>
      <c r="C202" s="4" t="inlineStr">
        <is>
          <t>Morka Group</t>
        </is>
      </c>
      <c r="D202" s="4" t="inlineStr"/>
      <c r="E202" s="4" t="inlineStr">
        <is>
          <t>ketan@morkagroup.com</t>
        </is>
      </c>
      <c r="F202" s="4" t="inlineStr"/>
      <c r="G202" s="6" t="inlineStr">
        <is>
          <t>2026-01-29</t>
        </is>
      </c>
      <c r="H202" s="6" t="inlineStr">
        <is>
          <t>2026-08-27</t>
        </is>
      </c>
      <c r="I202" s="6" t="n">
        <v>1</v>
      </c>
      <c r="J202" s="6" t="n">
        <v>9</v>
      </c>
      <c r="K202" s="4" t="inlineStr">
        <is>
          <t>Direct correspondence</t>
        </is>
      </c>
      <c r="L202" s="7" t="inlineStr">
        <is>
          <t>Capital side - 7A Palace Green loan note, calls on St Clements House and Peninsular House</t>
        </is>
      </c>
    </row>
    <row r="203">
      <c r="A203" s="4" t="inlineStr">
        <is>
          <t>Stephen Surpless</t>
        </is>
      </c>
      <c r="B203" s="11" t="inlineStr">
        <is>
          <t>Investor / Family Office</t>
        </is>
      </c>
      <c r="C203" s="4" t="inlineStr">
        <is>
          <t>Niveus Capital</t>
        </is>
      </c>
      <c r="D203" s="4" t="inlineStr"/>
      <c r="E203" s="4" t="inlineStr">
        <is>
          <t>ss@niveuscapital.co.uk</t>
        </is>
      </c>
      <c r="F203" s="4" t="inlineStr"/>
      <c r="G203" s="6" t="inlineStr">
        <is>
          <t>2026-08-17</t>
        </is>
      </c>
      <c r="H203" s="6" t="inlineStr">
        <is>
          <t>2026-08-17</t>
        </is>
      </c>
      <c r="I203" s="6" t="n">
        <v>0</v>
      </c>
      <c r="J203" s="6" t="n">
        <v>0</v>
      </c>
      <c r="K203" s="8" t="inlineStr">
        <is>
          <t>Named in a thread</t>
        </is>
      </c>
      <c r="L203" s="7" t="inlineStr">
        <is>
          <t>Colleague of Vivek Patel on the Niveus Capital investor updates.</t>
        </is>
      </c>
    </row>
    <row r="204">
      <c r="A204" s="4" t="inlineStr">
        <is>
          <t>Vivek Patel</t>
        </is>
      </c>
      <c r="B204" s="11" t="inlineStr">
        <is>
          <t>Investor / Family Office</t>
        </is>
      </c>
      <c r="C204" s="4" t="inlineStr">
        <is>
          <t>Niveus Capital</t>
        </is>
      </c>
      <c r="D204" s="4" t="inlineStr"/>
      <c r="E204" s="4" t="inlineStr">
        <is>
          <t>vp@niveuscapital.co.uk</t>
        </is>
      </c>
      <c r="F204" s="4" t="inlineStr"/>
      <c r="G204" s="6" t="inlineStr">
        <is>
          <t>2026-08-17</t>
        </is>
      </c>
      <c r="H204" s="6" t="inlineStr">
        <is>
          <t>2026-08-17</t>
        </is>
      </c>
      <c r="I204" s="6" t="n">
        <v>0</v>
      </c>
      <c r="J204" s="6" t="n">
        <v>0</v>
      </c>
      <c r="K204" s="8" t="inlineStr">
        <is>
          <t>Named in a thread</t>
        </is>
      </c>
      <c r="L204" s="7" t="inlineStr">
        <is>
          <t>Sends Niveus Capital monthly updates to investors and potential investors.</t>
        </is>
      </c>
    </row>
    <row r="205">
      <c r="A205" s="4" t="inlineStr">
        <is>
          <t>Neel Rajani</t>
        </is>
      </c>
      <c r="B205" s="11" t="inlineStr">
        <is>
          <t>Investor / Family Office</t>
        </is>
      </c>
      <c r="C205" s="4" t="inlineStr">
        <is>
          <t>Reel Wealth Ltd</t>
        </is>
      </c>
      <c r="D205" s="4" t="inlineStr"/>
      <c r="E205" s="4" t="inlineStr">
        <is>
          <t>neel@reelholdings.co.uk</t>
        </is>
      </c>
      <c r="F205" s="4" t="inlineStr"/>
      <c r="G205" s="6" t="inlineStr">
        <is>
          <t>2026-03-31</t>
        </is>
      </c>
      <c r="H205" s="6" t="inlineStr">
        <is>
          <t>2026-07-01</t>
        </is>
      </c>
      <c r="I205" s="6" t="n">
        <v>2</v>
      </c>
      <c r="J205" s="6" t="n">
        <v>3</v>
      </c>
      <c r="K205" s="4" t="inlineStr">
        <is>
          <t>Direct correspondence</t>
        </is>
      </c>
      <c r="L205" s="7" t="inlineStr">
        <is>
          <t>Holds the Reel Wealth loan note in The Landsby, Stanmore; Shyam sends him the periodic update and interest payments</t>
        </is>
      </c>
    </row>
    <row r="206">
      <c r="A206" s="4" t="inlineStr">
        <is>
          <t>Paul Bulstrode</t>
        </is>
      </c>
      <c r="B206" s="11" t="inlineStr">
        <is>
          <t>Investor / Family Office</t>
        </is>
      </c>
      <c r="C206" s="4" t="inlineStr">
        <is>
          <t>VG (Jersey)</t>
        </is>
      </c>
      <c r="D206" s="4" t="inlineStr"/>
      <c r="E206" s="4" t="inlineStr">
        <is>
          <t>pbulstrode@vg.je</t>
        </is>
      </c>
      <c r="F206" s="4" t="inlineStr"/>
      <c r="G206" s="6" t="inlineStr">
        <is>
          <t>2026-02-18</t>
        </is>
      </c>
      <c r="H206" s="6" t="inlineStr">
        <is>
          <t>2026-02-18</t>
        </is>
      </c>
      <c r="I206" s="6" t="n">
        <v>0</v>
      </c>
      <c r="J206" s="6" t="n">
        <v>0</v>
      </c>
      <c r="K206" s="8" t="inlineStr">
        <is>
          <t>Named in a thread</t>
        </is>
      </c>
      <c r="L206" s="7" t="inlineStr">
        <is>
          <t>Jersey administrator of the Oryx 2 Real Estate / Rasmala structure; scheduled payment notifications</t>
        </is>
      </c>
    </row>
    <row r="207">
      <c r="A207" s="4" t="inlineStr">
        <is>
          <t>Rasmala Administration Team</t>
        </is>
      </c>
      <c r="B207" s="11" t="inlineStr">
        <is>
          <t>Investor / Family Office</t>
        </is>
      </c>
      <c r="C207" s="4" t="inlineStr">
        <is>
          <t>VG (Jersey)</t>
        </is>
      </c>
      <c r="D207" s="4" t="inlineStr"/>
      <c r="E207" s="4" t="inlineStr">
        <is>
          <t>rasmala@vg.je</t>
        </is>
      </c>
      <c r="F207" s="4" t="inlineStr"/>
      <c r="G207" s="6" t="inlineStr">
        <is>
          <t>2026-02-18</t>
        </is>
      </c>
      <c r="H207" s="6" t="inlineStr">
        <is>
          <t>2026-02-18</t>
        </is>
      </c>
      <c r="I207" s="6" t="n">
        <v>0</v>
      </c>
      <c r="J207" s="6" t="n">
        <v>0</v>
      </c>
      <c r="K207" s="8" t="inlineStr">
        <is>
          <t>Named in a thread</t>
        </is>
      </c>
      <c r="L207" s="7" t="inlineStr">
        <is>
          <t>VG Jersey administration inbox for the Rasmala Oryx 2 Real Estate payments</t>
        </is>
      </c>
    </row>
    <row r="208">
      <c r="A208" s="4" t="inlineStr">
        <is>
          <t>Stuart Andre</t>
        </is>
      </c>
      <c r="B208" s="11" t="inlineStr">
        <is>
          <t>Investor / Family Office</t>
        </is>
      </c>
      <c r="C208" s="4" t="inlineStr">
        <is>
          <t>VG (Jersey)</t>
        </is>
      </c>
      <c r="D208" s="4" t="inlineStr"/>
      <c r="E208" s="4" t="inlineStr">
        <is>
          <t>sandre@vg.je</t>
        </is>
      </c>
      <c r="F208" s="4" t="inlineStr"/>
      <c r="G208" s="6" t="inlineStr">
        <is>
          <t>2026-02-18</t>
        </is>
      </c>
      <c r="H208" s="6" t="inlineStr">
        <is>
          <t>2026-02-18</t>
        </is>
      </c>
      <c r="I208" s="6" t="n">
        <v>0</v>
      </c>
      <c r="J208" s="6" t="n">
        <v>0</v>
      </c>
      <c r="K208" s="8" t="inlineStr">
        <is>
          <t>Named in a thread</t>
        </is>
      </c>
      <c r="L208" s="7" t="inlineStr">
        <is>
          <t>VG Jersey administrator on the Oryx 2 Real Estate payment notifications</t>
        </is>
      </c>
    </row>
    <row r="209">
      <c r="A209" s="4" t="inlineStr">
        <is>
          <t>Chotilal Lakhani</t>
        </is>
      </c>
      <c r="B209" s="11" t="inlineStr">
        <is>
          <t>Investor / Family Office</t>
        </is>
      </c>
      <c r="C209" s="4" t="inlineStr"/>
      <c r="D209" s="4" t="inlineStr"/>
      <c r="E209" s="4" t="inlineStr">
        <is>
          <t>chhotukaka@gmail.com</t>
        </is>
      </c>
      <c r="F209" s="4" t="inlineStr"/>
      <c r="G209" s="6" t="inlineStr">
        <is>
          <t>2026-01-29</t>
        </is>
      </c>
      <c r="H209" s="6" t="inlineStr">
        <is>
          <t>2026-08-27</t>
        </is>
      </c>
      <c r="I209" s="6" t="n">
        <v>10</v>
      </c>
      <c r="J209" s="6" t="n">
        <v>11</v>
      </c>
      <c r="K209" s="4" t="inlineStr">
        <is>
          <t>Direct correspondence</t>
        </is>
      </c>
      <c r="L209" s="7" t="inlineStr">
        <is>
          <t>REL Finance bondholder - receives monthly bond interest payments.</t>
        </is>
      </c>
    </row>
    <row r="210">
      <c r="A210" s="4" t="inlineStr">
        <is>
          <t>Neelam Bose</t>
        </is>
      </c>
      <c r="B210" s="11" t="inlineStr">
        <is>
          <t>Investor / Family Office</t>
        </is>
      </c>
      <c r="C210" s="4" t="inlineStr"/>
      <c r="D210" s="4" t="inlineStr"/>
      <c r="E210" s="4" t="inlineStr">
        <is>
          <t>neelam_bose@hotmail.com</t>
        </is>
      </c>
      <c r="F210" s="4" t="inlineStr"/>
      <c r="G210" s="6" t="inlineStr">
        <is>
          <t>2026-02-25</t>
        </is>
      </c>
      <c r="H210" s="6" t="inlineStr">
        <is>
          <t>2026-08-27</t>
        </is>
      </c>
      <c r="I210" s="6" t="n">
        <v>0</v>
      </c>
      <c r="J210" s="6" t="n">
        <v>7</v>
      </c>
      <c r="K210" s="4" t="inlineStr">
        <is>
          <t>Direct correspondence</t>
        </is>
      </c>
      <c r="L210" s="7" t="inlineStr">
        <is>
          <t>Bose family loan note holder; receives monthly 3A Palace Green statements</t>
        </is>
      </c>
    </row>
    <row r="211">
      <c r="A211" s="4" t="inlineStr">
        <is>
          <t>Pragna Morjaria</t>
        </is>
      </c>
      <c r="B211" s="11" t="inlineStr">
        <is>
          <t>Investor / Family Office</t>
        </is>
      </c>
      <c r="C211" s="4" t="inlineStr"/>
      <c r="D211" s="4" t="inlineStr"/>
      <c r="E211" s="4" t="inlineStr">
        <is>
          <t>pragna_morjaria@hotmail.com</t>
        </is>
      </c>
      <c r="F211" s="4" t="inlineStr"/>
      <c r="G211" s="6" t="inlineStr">
        <is>
          <t>2026-01-29</t>
        </is>
      </c>
      <c r="H211" s="6" t="inlineStr">
        <is>
          <t>2026-08-27</t>
        </is>
      </c>
      <c r="I211" s="6" t="n">
        <v>0</v>
      </c>
      <c r="J211" s="6" t="n">
        <v>7</v>
      </c>
      <c r="K211" s="4" t="inlineStr">
        <is>
          <t>Direct correspondence</t>
        </is>
      </c>
      <c r="L211" s="7" t="inlineStr">
        <is>
          <t>Morjaria family loan note holder; 7A Palace Green certificate and accession undertaking, plus 3A Palace Green statements</t>
        </is>
      </c>
    </row>
    <row r="212">
      <c r="A212" s="4" t="inlineStr">
        <is>
          <t>G. Smith</t>
        </is>
      </c>
      <c r="B212" s="12" t="inlineStr">
        <is>
          <t>Solicitor / Legal</t>
        </is>
      </c>
      <c r="C212" s="4" t="inlineStr">
        <is>
          <t>Fladgate LLP</t>
        </is>
      </c>
      <c r="D212" s="4" t="inlineStr"/>
      <c r="E212" s="4" t="inlineStr">
        <is>
          <t>gsmith@fladgate.com</t>
        </is>
      </c>
      <c r="F212" s="4" t="inlineStr"/>
      <c r="G212" s="6" t="inlineStr">
        <is>
          <t>2026-07-15</t>
        </is>
      </c>
      <c r="H212" s="6" t="inlineStr">
        <is>
          <t>2026-07-15</t>
        </is>
      </c>
      <c r="I212" s="6" t="n">
        <v>0</v>
      </c>
      <c r="J212" s="6" t="n">
        <v>0</v>
      </c>
      <c r="K212" s="8" t="inlineStr">
        <is>
          <t>Named in a thread</t>
        </is>
      </c>
      <c r="L212" s="7" t="inlineStr">
        <is>
          <t>Fladgate legal team on the Chart Forte (Monument) funds flow with OakNorth.</t>
        </is>
      </c>
    </row>
    <row r="213">
      <c r="A213" s="4" t="inlineStr">
        <is>
          <t>R. Serhal</t>
        </is>
      </c>
      <c r="B213" s="12" t="inlineStr">
        <is>
          <t>Solicitor / Legal</t>
        </is>
      </c>
      <c r="C213" s="4" t="inlineStr">
        <is>
          <t>Fladgate LLP</t>
        </is>
      </c>
      <c r="D213" s="4" t="inlineStr"/>
      <c r="E213" s="4" t="inlineStr">
        <is>
          <t>rserhal@fladgate.com</t>
        </is>
      </c>
      <c r="F213" s="4" t="inlineStr"/>
      <c r="G213" s="6" t="inlineStr">
        <is>
          <t>2026-07-15</t>
        </is>
      </c>
      <c r="H213" s="6" t="inlineStr">
        <is>
          <t>2026-07-15</t>
        </is>
      </c>
      <c r="I213" s="6" t="n">
        <v>0</v>
      </c>
      <c r="J213" s="6" t="n">
        <v>0</v>
      </c>
      <c r="K213" s="8" t="inlineStr">
        <is>
          <t>Named in a thread</t>
        </is>
      </c>
      <c r="L213" s="7" t="inlineStr">
        <is>
          <t>Fladgate legal team on the Chart Forte (Monument) funds flow with OakNorth.</t>
        </is>
      </c>
    </row>
    <row r="214">
      <c r="A214" s="4" t="inlineStr">
        <is>
          <t>V. Brownell</t>
        </is>
      </c>
      <c r="B214" s="12" t="inlineStr">
        <is>
          <t>Solicitor / Legal</t>
        </is>
      </c>
      <c r="C214" s="4" t="inlineStr">
        <is>
          <t>Fladgate LLP</t>
        </is>
      </c>
      <c r="D214" s="4" t="inlineStr"/>
      <c r="E214" s="4" t="inlineStr">
        <is>
          <t>vbrownell@fladgate.com</t>
        </is>
      </c>
      <c r="F214" s="4" t="inlineStr"/>
      <c r="G214" s="6" t="inlineStr">
        <is>
          <t>2026-07-15</t>
        </is>
      </c>
      <c r="H214" s="6" t="inlineStr">
        <is>
          <t>2026-07-15</t>
        </is>
      </c>
      <c r="I214" s="6" t="n">
        <v>0</v>
      </c>
      <c r="J214" s="6" t="n">
        <v>0</v>
      </c>
      <c r="K214" s="8" t="inlineStr">
        <is>
          <t>Named in a thread</t>
        </is>
      </c>
      <c r="L214" s="7" t="inlineStr">
        <is>
          <t>Fladgate legal team on the Chart Forte (Monument) funds flow with OakNorth.</t>
        </is>
      </c>
    </row>
    <row r="215">
      <c r="A215" s="4" t="inlineStr">
        <is>
          <t>E Ooi</t>
        </is>
      </c>
      <c r="B215" s="12" t="inlineStr">
        <is>
          <t>Solicitor / Legal</t>
        </is>
      </c>
      <c r="C215" s="4" t="inlineStr">
        <is>
          <t>Lawrence Stephens</t>
        </is>
      </c>
      <c r="D215" s="4" t="inlineStr"/>
      <c r="E215" s="4" t="inlineStr">
        <is>
          <t>eooi@lawstep.co.uk</t>
        </is>
      </c>
      <c r="F215" s="4" t="inlineStr"/>
      <c r="G215" s="6" t="inlineStr">
        <is>
          <t>2026-03-06</t>
        </is>
      </c>
      <c r="H215" s="6" t="inlineStr">
        <is>
          <t>2026-03-26</t>
        </is>
      </c>
      <c r="I215" s="6" t="n">
        <v>0</v>
      </c>
      <c r="J215" s="6" t="n">
        <v>0</v>
      </c>
      <c r="K215" s="8" t="inlineStr">
        <is>
          <t>Named in a thread</t>
        </is>
      </c>
      <c r="L215" s="7" t="inlineStr">
        <is>
          <t>Lawrence Stephens team member on the Oryx 2 redemption</t>
        </is>
      </c>
    </row>
    <row r="216">
      <c r="A216" s="4" t="inlineStr">
        <is>
          <t>L Brown</t>
        </is>
      </c>
      <c r="B216" s="12" t="inlineStr">
        <is>
          <t>Solicitor / Legal</t>
        </is>
      </c>
      <c r="C216" s="4" t="inlineStr">
        <is>
          <t>Lawrence Stephens</t>
        </is>
      </c>
      <c r="D216" s="4" t="inlineStr"/>
      <c r="E216" s="4" t="inlineStr">
        <is>
          <t>lbrown@lawstep.co.uk</t>
        </is>
      </c>
      <c r="F216" s="4" t="inlineStr"/>
      <c r="G216" s="6" t="inlineStr">
        <is>
          <t>2026-04-27</t>
        </is>
      </c>
      <c r="H216" s="6" t="inlineStr">
        <is>
          <t>2026-05-06</t>
        </is>
      </c>
      <c r="I216" s="6" t="n">
        <v>0</v>
      </c>
      <c r="J216" s="6" t="n">
        <v>0</v>
      </c>
      <c r="K216" s="8" t="inlineStr">
        <is>
          <t>Named in a thread</t>
        </is>
      </c>
      <c r="L216" s="7" t="inlineStr">
        <is>
          <t>Lawrence Stephens contact on the Uno Thames Hotel legal quote</t>
        </is>
      </c>
    </row>
    <row r="217">
      <c r="A217" s="4" t="inlineStr">
        <is>
          <t>Milana Katz</t>
        </is>
      </c>
      <c r="B217" s="12" t="inlineStr">
        <is>
          <t>Solicitor / Legal</t>
        </is>
      </c>
      <c r="C217" s="4" t="inlineStr">
        <is>
          <t>Lawrence Stephens</t>
        </is>
      </c>
      <c r="D217" s="4" t="inlineStr">
        <is>
          <t>Senior Associate</t>
        </is>
      </c>
      <c r="E217" s="4" t="inlineStr">
        <is>
          <t>mkatz@lawstep.co.uk</t>
        </is>
      </c>
      <c r="F217" s="4" t="inlineStr">
        <is>
          <t>+44 (0)20 3004 3982, +44 (0)7858 518 388</t>
        </is>
      </c>
      <c r="G217" s="6" t="inlineStr">
        <is>
          <t>2026-02-24</t>
        </is>
      </c>
      <c r="H217" s="6" t="inlineStr">
        <is>
          <t>2026-05-06</t>
        </is>
      </c>
      <c r="I217" s="6" t="n">
        <v>15</v>
      </c>
      <c r="J217" s="6" t="n">
        <v>0</v>
      </c>
      <c r="K217" s="4" t="inlineStr">
        <is>
          <t>Direct correspondence</t>
        </is>
      </c>
      <c r="L217" s="7" t="inlineStr">
        <is>
          <t>Ran the Oryx 2 Real Estate loan redemption for REL</t>
        </is>
      </c>
    </row>
    <row r="218">
      <c r="A218" s="4" t="inlineStr">
        <is>
          <t>Andrew Parsons</t>
        </is>
      </c>
      <c r="B218" s="12" t="inlineStr">
        <is>
          <t>Solicitor / Legal</t>
        </is>
      </c>
      <c r="C218" s="4" t="inlineStr">
        <is>
          <t>Osborne Clarke</t>
        </is>
      </c>
      <c r="D218" s="4" t="inlineStr">
        <is>
          <t>Partner</t>
        </is>
      </c>
      <c r="E218" s="4" t="inlineStr">
        <is>
          <t>andrew.parsons@osborneclarke.com</t>
        </is>
      </c>
      <c r="F218" s="4" t="inlineStr">
        <is>
          <t>+44 117 917 4276</t>
        </is>
      </c>
      <c r="G218" s="6" t="inlineStr">
        <is>
          <t>2026-07-20</t>
        </is>
      </c>
      <c r="H218" s="6" t="inlineStr">
        <is>
          <t>2026-09-01</t>
        </is>
      </c>
      <c r="I218" s="6" t="n">
        <v>30</v>
      </c>
      <c r="J218" s="6" t="n">
        <v>0</v>
      </c>
      <c r="K218" s="4" t="inlineStr">
        <is>
          <t>Direct correspondence</t>
        </is>
      </c>
      <c r="L218" s="7" t="inlineStr">
        <is>
          <t>REL's lender-side counsel on the DNA Uxbridge loan extension and the GBB loan-on-loan documentation</t>
        </is>
      </c>
    </row>
    <row r="219">
      <c r="A219" s="4" t="inlineStr">
        <is>
          <t>Katherine Jensen</t>
        </is>
      </c>
      <c r="B219" s="12" t="inlineStr">
        <is>
          <t>Solicitor / Legal</t>
        </is>
      </c>
      <c r="C219" s="4" t="inlineStr">
        <is>
          <t>Osborne Clarke</t>
        </is>
      </c>
      <c r="D219" s="4" t="inlineStr"/>
      <c r="E219" s="4" t="inlineStr">
        <is>
          <t>katherine.jensen@osborneclarke.com</t>
        </is>
      </c>
      <c r="F219" s="4" t="inlineStr"/>
      <c r="G219" s="6" t="inlineStr">
        <is>
          <t>2026-09-02</t>
        </is>
      </c>
      <c r="H219" s="6" t="inlineStr">
        <is>
          <t>2026-09-02</t>
        </is>
      </c>
      <c r="I219" s="6" t="n">
        <v>0</v>
      </c>
      <c r="J219" s="6" t="n">
        <v>0</v>
      </c>
      <c r="K219" s="8" t="inlineStr">
        <is>
          <t>Named in a thread</t>
        </is>
      </c>
      <c r="L219" s="7" t="inlineStr">
        <is>
          <t>On the DNA Uxbridge / Teneo call convened by Rebecca Leeser, 02/09.</t>
        </is>
      </c>
    </row>
    <row r="220">
      <c r="A220" s="4" t="inlineStr">
        <is>
          <t>Poppy Macleod</t>
        </is>
      </c>
      <c r="B220" s="12" t="inlineStr">
        <is>
          <t>Solicitor / Legal</t>
        </is>
      </c>
      <c r="C220" s="4" t="inlineStr">
        <is>
          <t>Osborne Clarke</t>
        </is>
      </c>
      <c r="D220" s="4" t="inlineStr"/>
      <c r="E220" s="4" t="inlineStr">
        <is>
          <t>poppy.macleod@osborneclarke.com</t>
        </is>
      </c>
      <c r="F220" s="4" t="inlineStr"/>
      <c r="G220" s="6" t="inlineStr">
        <is>
          <t>2026-08-17</t>
        </is>
      </c>
      <c r="H220" s="6" t="inlineStr">
        <is>
          <t>2026-08-19</t>
        </is>
      </c>
      <c r="I220" s="6" t="n">
        <v>0</v>
      </c>
      <c r="J220" s="6" t="n">
        <v>0</v>
      </c>
      <c r="K220" s="8" t="inlineStr">
        <is>
          <t>Named in a thread</t>
        </is>
      </c>
      <c r="L220" s="7" t="inlineStr">
        <is>
          <t>Added to the DNA Uxbridge extension team alongside Andrew Parsons and Savina Sangha.</t>
        </is>
      </c>
    </row>
    <row r="221">
      <c r="A221" s="4" t="inlineStr">
        <is>
          <t>Savina Sangha</t>
        </is>
      </c>
      <c r="B221" s="12" t="inlineStr">
        <is>
          <t>Solicitor / Legal</t>
        </is>
      </c>
      <c r="C221" s="4" t="inlineStr">
        <is>
          <t>Osborne Clarke</t>
        </is>
      </c>
      <c r="D221" s="4" t="inlineStr">
        <is>
          <t>Associate</t>
        </is>
      </c>
      <c r="E221" s="4" t="inlineStr">
        <is>
          <t>savina.sangha@osborneclarke.com</t>
        </is>
      </c>
      <c r="F221" s="4" t="inlineStr"/>
      <c r="G221" s="6" t="inlineStr">
        <is>
          <t>2026-08-04</t>
        </is>
      </c>
      <c r="H221" s="6" t="inlineStr">
        <is>
          <t>2026-09-01</t>
        </is>
      </c>
      <c r="I221" s="6" t="n">
        <v>1</v>
      </c>
      <c r="J221" s="6" t="n">
        <v>0</v>
      </c>
      <c r="K221" s="4" t="inlineStr">
        <is>
          <t>Direct correspondence</t>
        </is>
      </c>
      <c r="L221" s="7" t="inlineStr">
        <is>
          <t>Works with Andrew Parsons on the DNA Uxbridge extension; runs the DocuSign execution of the reservation of rights letter.</t>
        </is>
      </c>
    </row>
    <row r="222">
      <c r="A222" s="4" t="inlineStr">
        <is>
          <t>Alice King</t>
        </is>
      </c>
      <c r="B222" s="12" t="inlineStr">
        <is>
          <t>Solicitor / Legal</t>
        </is>
      </c>
      <c r="C222" s="4" t="inlineStr">
        <is>
          <t>Shepherd and Wedderburn LLP</t>
        </is>
      </c>
      <c r="D222" s="4" t="inlineStr">
        <is>
          <t>Trainee Solicitor, Banking &amp; Corporate Finance</t>
        </is>
      </c>
      <c r="E222" s="4" t="inlineStr">
        <is>
          <t>alice.king@shepwedd.com</t>
        </is>
      </c>
      <c r="F222" s="4" t="inlineStr">
        <is>
          <t>+44 (0)20 7429 4975, +44 (0)771 378 2359</t>
        </is>
      </c>
      <c r="G222" s="6" t="inlineStr">
        <is>
          <t>2026-03-09</t>
        </is>
      </c>
      <c r="H222" s="6" t="inlineStr">
        <is>
          <t>2026-03-17</t>
        </is>
      </c>
      <c r="I222" s="6" t="n">
        <v>3</v>
      </c>
      <c r="J222" s="6" t="n">
        <v>0</v>
      </c>
      <c r="K222" s="4" t="inlineStr">
        <is>
          <t>Direct correspondence</t>
        </is>
      </c>
      <c r="L222" s="7" t="inlineStr">
        <is>
          <t>Drafting REL's facility agreement and subordination on 1 Westmoreland Road, Bromley (London Land)</t>
        </is>
      </c>
    </row>
    <row r="223">
      <c r="A223" s="4" t="inlineStr">
        <is>
          <t>Lauren McLeod</t>
        </is>
      </c>
      <c r="B223" s="12" t="inlineStr">
        <is>
          <t>Solicitor / Legal</t>
        </is>
      </c>
      <c r="C223" s="4" t="inlineStr">
        <is>
          <t>Shepherd and Wedderburn LLP</t>
        </is>
      </c>
      <c r="D223" s="4" t="inlineStr"/>
      <c r="E223" s="4" t="inlineStr">
        <is>
          <t>lauren.mcleod@shepwedd.com</t>
        </is>
      </c>
      <c r="F223" s="4" t="inlineStr"/>
      <c r="G223" s="6" t="inlineStr">
        <is>
          <t>2026-03-09</t>
        </is>
      </c>
      <c r="H223" s="6" t="inlineStr">
        <is>
          <t>2026-03-16</t>
        </is>
      </c>
      <c r="I223" s="6" t="n">
        <v>0</v>
      </c>
      <c r="J223" s="6" t="n">
        <v>0</v>
      </c>
      <c r="K223" s="8" t="inlineStr">
        <is>
          <t>Named in a thread</t>
        </is>
      </c>
      <c r="L223" s="7" t="inlineStr">
        <is>
          <t>Shepherd and Wedderburn team on the Bromley draft facility agreement</t>
        </is>
      </c>
    </row>
    <row r="224">
      <c r="A224" s="4" t="inlineStr">
        <is>
          <t>Sam Clarke</t>
        </is>
      </c>
      <c r="B224" s="12" t="inlineStr">
        <is>
          <t>Solicitor / Legal</t>
        </is>
      </c>
      <c r="C224" s="4" t="inlineStr">
        <is>
          <t>Shepherd and Wedderburn LLP</t>
        </is>
      </c>
      <c r="D224" s="4" t="inlineStr">
        <is>
          <t>Partner, Banking and Finance</t>
        </is>
      </c>
      <c r="E224" s="4" t="inlineStr">
        <is>
          <t>sam.clarke@shepwedd.com</t>
        </is>
      </c>
      <c r="F224" s="4" t="inlineStr">
        <is>
          <t>+44 (0)20 7429 4681, +44 (0)770 235 1526</t>
        </is>
      </c>
      <c r="G224" s="6" t="inlineStr">
        <is>
          <t>2026-02-11</t>
        </is>
      </c>
      <c r="H224" s="6" t="inlineStr">
        <is>
          <t>2026-03-17</t>
        </is>
      </c>
      <c r="I224" s="6" t="n">
        <v>3</v>
      </c>
      <c r="J224" s="6" t="n">
        <v>0</v>
      </c>
      <c r="K224" s="4" t="inlineStr">
        <is>
          <t>Direct correspondence</t>
        </is>
      </c>
      <c r="L224" s="7" t="inlineStr">
        <is>
          <t>Lead partner acting for REL on the 1 Westmoreland Road, Bromley financing</t>
        </is>
      </c>
    </row>
    <row r="225">
      <c r="A225" s="4" t="inlineStr">
        <is>
          <t>Chris Mills</t>
        </is>
      </c>
      <c r="B225" s="12" t="inlineStr">
        <is>
          <t>Solicitor / Legal</t>
        </is>
      </c>
      <c r="C225" s="4" t="inlineStr">
        <is>
          <t>Shoosmiths LLP</t>
        </is>
      </c>
      <c r="D225" s="4" t="inlineStr"/>
      <c r="E225" s="4" t="inlineStr">
        <is>
          <t>chris.mills@shoosmiths.com</t>
        </is>
      </c>
      <c r="F225" s="4" t="inlineStr"/>
      <c r="G225" s="6" t="inlineStr">
        <is>
          <t>2026-02-11</t>
        </is>
      </c>
      <c r="H225" s="6" t="inlineStr">
        <is>
          <t>2026-02-11</t>
        </is>
      </c>
      <c r="I225" s="6" t="n">
        <v>0</v>
      </c>
      <c r="J225" s="6" t="n">
        <v>0</v>
      </c>
      <c r="K225" s="8" t="inlineStr">
        <is>
          <t>Named in a thread</t>
        </is>
      </c>
      <c r="L225" s="7" t="inlineStr">
        <is>
          <t>Shoosmiths quote for the 1 Westmoreland Road, Bromley deal</t>
        </is>
      </c>
    </row>
    <row r="226">
      <c r="A226" s="4" t="inlineStr">
        <is>
          <t>Sam Jadhav</t>
        </is>
      </c>
      <c r="B226" s="12" t="inlineStr">
        <is>
          <t>Solicitor / Legal</t>
        </is>
      </c>
      <c r="C226" s="4" t="inlineStr">
        <is>
          <t>Shoosmiths LLP</t>
        </is>
      </c>
      <c r="D226" s="4" t="inlineStr"/>
      <c r="E226" s="4" t="inlineStr">
        <is>
          <t>sam.jadhav@shoosmiths.com</t>
        </is>
      </c>
      <c r="F226" s="4" t="inlineStr"/>
      <c r="G226" s="6" t="inlineStr">
        <is>
          <t>2026-02-11</t>
        </is>
      </c>
      <c r="H226" s="6" t="inlineStr">
        <is>
          <t>2026-02-11</t>
        </is>
      </c>
      <c r="I226" s="6" t="n">
        <v>0</v>
      </c>
      <c r="J226" s="6" t="n">
        <v>0</v>
      </c>
      <c r="K226" s="8" t="inlineStr">
        <is>
          <t>Named in a thread</t>
        </is>
      </c>
      <c r="L226" s="7" t="inlineStr">
        <is>
          <t>Shoosmiths quote for the 1 Westmoreland Road, Bromley deal</t>
        </is>
      </c>
    </row>
    <row r="227">
      <c r="A227" s="4" t="inlineStr">
        <is>
          <t>Chris Theodosiou</t>
        </is>
      </c>
      <c r="B227" s="13" t="inlineStr">
        <is>
          <t>Valuer / Property Professional</t>
        </is>
      </c>
      <c r="C227" s="4" t="inlineStr">
        <is>
          <t>Allsop LLP</t>
        </is>
      </c>
      <c r="D227" s="4" t="inlineStr">
        <is>
          <t>Partner, Residential Valuation</t>
        </is>
      </c>
      <c r="E227" s="4" t="inlineStr">
        <is>
          <t>chris.theodosiou@allsop.co.uk</t>
        </is>
      </c>
      <c r="F227" s="4" t="inlineStr">
        <is>
          <t>020 7344 2654, 07918 284861</t>
        </is>
      </c>
      <c r="G227" s="6" t="inlineStr">
        <is>
          <t>2026-07-27</t>
        </is>
      </c>
      <c r="H227" s="6" t="inlineStr">
        <is>
          <t>2026-07-30</t>
        </is>
      </c>
      <c r="I227" s="6" t="n">
        <v>5</v>
      </c>
      <c r="J227" s="6" t="n">
        <v>0</v>
      </c>
      <c r="K227" s="4" t="inlineStr">
        <is>
          <t>Direct correspondence</t>
        </is>
      </c>
      <c r="L227" s="7" t="inlineStr">
        <is>
          <t>Valuer on the Askew Road bridge security</t>
        </is>
      </c>
    </row>
    <row r="228">
      <c r="A228" s="4" t="inlineStr">
        <is>
          <t>Josh Ware</t>
        </is>
      </c>
      <c r="B228" s="13" t="inlineStr">
        <is>
          <t>Valuer / Property Professional</t>
        </is>
      </c>
      <c r="C228" s="4" t="inlineStr">
        <is>
          <t>Allsop LLP</t>
        </is>
      </c>
      <c r="D228" s="4" t="inlineStr"/>
      <c r="E228" s="4" t="inlineStr">
        <is>
          <t>josh.ware@allsop.co.uk</t>
        </is>
      </c>
      <c r="F228" s="4" t="inlineStr"/>
      <c r="G228" s="6" t="inlineStr">
        <is>
          <t>2026-07-27</t>
        </is>
      </c>
      <c r="H228" s="6" t="inlineStr">
        <is>
          <t>2026-07-30</t>
        </is>
      </c>
      <c r="I228" s="6" t="n">
        <v>0</v>
      </c>
      <c r="J228" s="6" t="n">
        <v>0</v>
      </c>
      <c r="K228" s="8" t="inlineStr">
        <is>
          <t>Named in a thread</t>
        </is>
      </c>
      <c r="L228" s="7" t="inlineStr">
        <is>
          <t>Allsop valuation team on Askew Road, alongside Chris Theodosiou</t>
        </is>
      </c>
    </row>
    <row r="229">
      <c r="A229" s="4" t="inlineStr">
        <is>
          <t>Karen Callahan</t>
        </is>
      </c>
      <c r="B229" s="13" t="inlineStr">
        <is>
          <t>Valuer / Property Professional</t>
        </is>
      </c>
      <c r="C229" s="4" t="inlineStr">
        <is>
          <t>Knight Frank</t>
        </is>
      </c>
      <c r="D229" s="4" t="inlineStr">
        <is>
          <t>Partner, Head of Hotels - Valuation &amp; Advisory</t>
        </is>
      </c>
      <c r="E229" s="4" t="inlineStr">
        <is>
          <t>karen.callahan@knightfrank.com</t>
        </is>
      </c>
      <c r="F229" s="4" t="inlineStr">
        <is>
          <t>+44 20 7861 1086, +44 7825 276334</t>
        </is>
      </c>
      <c r="G229" s="6" t="inlineStr">
        <is>
          <t>2026-07-27</t>
        </is>
      </c>
      <c r="H229" s="6" t="inlineStr">
        <is>
          <t>2026-08-17</t>
        </is>
      </c>
      <c r="I229" s="6" t="n">
        <v>2</v>
      </c>
      <c r="J229" s="6" t="n">
        <v>0</v>
      </c>
      <c r="K229" s="4" t="inlineStr">
        <is>
          <t>Direct correspondence</t>
        </is>
      </c>
      <c r="L229" s="7" t="inlineStr">
        <is>
          <t>Knight Frank hotel valuation contact for hospitality collateral</t>
        </is>
      </c>
    </row>
    <row r="230">
      <c r="A230" s="4" t="inlineStr">
        <is>
          <t>Greg Stalcup</t>
        </is>
      </c>
      <c r="B230" s="13" t="inlineStr">
        <is>
          <t>Valuer / Property Professional</t>
        </is>
      </c>
      <c r="C230" s="4" t="inlineStr">
        <is>
          <t>Levy Real Estate LLP</t>
        </is>
      </c>
      <c r="D230" s="4" t="inlineStr"/>
      <c r="E230" s="4" t="inlineStr">
        <is>
          <t>greg.stalcup@levyrealestate.co.uk</t>
        </is>
      </c>
      <c r="F230" s="4" t="inlineStr"/>
      <c r="G230" s="6" t="inlineStr">
        <is>
          <t>2025-12-17</t>
        </is>
      </c>
      <c r="H230" s="6" t="inlineStr">
        <is>
          <t>2026-02-18</t>
        </is>
      </c>
      <c r="I230" s="6" t="n">
        <v>0</v>
      </c>
      <c r="J230" s="6" t="n">
        <v>0</v>
      </c>
      <c r="K230" s="8" t="inlineStr">
        <is>
          <t>Named in a thread</t>
        </is>
      </c>
      <c r="L230" s="7" t="inlineStr">
        <is>
          <t>Levy Real Estate agent acting for the landlord on TG Jones, Uxbridge - the tenancy running through REL's DNA Uxbridge (Belmont Place) security.</t>
        </is>
      </c>
    </row>
    <row r="231">
      <c r="A231" s="4" t="inlineStr">
        <is>
          <t>Oliver Chivers</t>
        </is>
      </c>
      <c r="B231" s="13" t="inlineStr">
        <is>
          <t>Valuer / Property Professional</t>
        </is>
      </c>
      <c r="C231" s="4" t="inlineStr">
        <is>
          <t>Montagu Evans</t>
        </is>
      </c>
      <c r="D231" s="4" t="inlineStr"/>
      <c r="E231" s="4" t="inlineStr">
        <is>
          <t>oliver.chivers@montagu-evans.co.uk</t>
        </is>
      </c>
      <c r="F231" s="4" t="inlineStr"/>
      <c r="G231" s="6" t="inlineStr">
        <is>
          <t>2026-07-01</t>
        </is>
      </c>
      <c r="H231" s="6" t="inlineStr">
        <is>
          <t>2026-07-02</t>
        </is>
      </c>
      <c r="I231" s="6" t="n">
        <v>1</v>
      </c>
      <c r="J231" s="6" t="n">
        <v>0</v>
      </c>
      <c r="K231" s="4" t="inlineStr">
        <is>
          <t>Direct correspondence</t>
        </is>
      </c>
      <c r="L231" s="7" t="inlineStr">
        <is>
          <t>Quoted the valuation fee for Farriers Yard &amp; Forge</t>
        </is>
      </c>
    </row>
    <row r="232">
      <c r="A232" s="4" t="inlineStr">
        <is>
          <t>Imogen Colegrave</t>
        </is>
      </c>
      <c r="B232" s="13" t="inlineStr">
        <is>
          <t>Valuer / Property Professional</t>
        </is>
      </c>
      <c r="C232" s="4" t="inlineStr">
        <is>
          <t>Newmark</t>
        </is>
      </c>
      <c r="D232" s="4" t="inlineStr"/>
      <c r="E232" s="4" t="inlineStr">
        <is>
          <t>imogen.colegrave@nmrk.com</t>
        </is>
      </c>
      <c r="F232" s="4" t="inlineStr"/>
      <c r="G232" s="6" t="inlineStr">
        <is>
          <t>2026-02-06</t>
        </is>
      </c>
      <c r="H232" s="6" t="inlineStr">
        <is>
          <t>2026-02-11</t>
        </is>
      </c>
      <c r="I232" s="6" t="n">
        <v>0</v>
      </c>
      <c r="J232" s="6" t="n">
        <v>0</v>
      </c>
      <c r="K232" s="8" t="inlineStr">
        <is>
          <t>Named in a thread</t>
        </is>
      </c>
      <c r="L232" s="7" t="inlineStr">
        <is>
          <t>On the 1 Westmoreland Road Bromley valuation thread</t>
        </is>
      </c>
    </row>
    <row r="233">
      <c r="A233" s="4" t="inlineStr">
        <is>
          <t>Liana Psarros</t>
        </is>
      </c>
      <c r="B233" s="13" t="inlineStr">
        <is>
          <t>Valuer / Property Professional</t>
        </is>
      </c>
      <c r="C233" s="4" t="inlineStr">
        <is>
          <t>Newmark</t>
        </is>
      </c>
      <c r="D233" s="4" t="inlineStr"/>
      <c r="E233" s="4" t="inlineStr">
        <is>
          <t>liana.psarros@nmrk.com</t>
        </is>
      </c>
      <c r="F233" s="4" t="inlineStr"/>
      <c r="G233" s="6" t="inlineStr">
        <is>
          <t>2026-03-02</t>
        </is>
      </c>
      <c r="H233" s="6" t="inlineStr">
        <is>
          <t>2026-03-24</t>
        </is>
      </c>
      <c r="I233" s="6" t="n">
        <v>0</v>
      </c>
      <c r="J233" s="6" t="n">
        <v>0</v>
      </c>
      <c r="K233" s="8" t="inlineStr">
        <is>
          <t>Named in a thread</t>
        </is>
      </c>
      <c r="L233" s="7" t="inlineStr">
        <is>
          <t>Handled the Bromley valuation fee quote</t>
        </is>
      </c>
    </row>
    <row r="234">
      <c r="A234" s="4" t="inlineStr">
        <is>
          <t>Newmark UK Credit Control</t>
        </is>
      </c>
      <c r="B234" s="13" t="inlineStr">
        <is>
          <t>Valuer / Property Professional</t>
        </is>
      </c>
      <c r="C234" s="4" t="inlineStr">
        <is>
          <t>Newmark</t>
        </is>
      </c>
      <c r="D234" s="4" t="inlineStr"/>
      <c r="E234" s="4" t="inlineStr">
        <is>
          <t>ukcreditcontrol@nmrk.com</t>
        </is>
      </c>
      <c r="F234" s="4" t="inlineStr"/>
      <c r="G234" s="6" t="inlineStr">
        <is>
          <t>2026-03-24</t>
        </is>
      </c>
      <c r="H234" s="6" t="inlineStr">
        <is>
          <t>2026-03-24</t>
        </is>
      </c>
      <c r="I234" s="6" t="n">
        <v>0</v>
      </c>
      <c r="J234" s="6" t="n">
        <v>0</v>
      </c>
      <c r="K234" s="8" t="inlineStr">
        <is>
          <t>Named in a thread</t>
        </is>
      </c>
      <c r="L234" s="7" t="inlineStr">
        <is>
          <t>Newmark billing contact for the Bromley valuation fee</t>
        </is>
      </c>
    </row>
    <row r="235">
      <c r="A235" s="4" t="inlineStr">
        <is>
          <t>Robert Davies</t>
        </is>
      </c>
      <c r="B235" s="13" t="inlineStr">
        <is>
          <t>Valuer / Property Professional</t>
        </is>
      </c>
      <c r="C235" s="4" t="inlineStr">
        <is>
          <t>Newmark</t>
        </is>
      </c>
      <c r="D235" s="4" t="inlineStr">
        <is>
          <t>Partner, Newmark Planning and Development</t>
        </is>
      </c>
      <c r="E235" s="4" t="inlineStr">
        <is>
          <t>robert.davies@nmrk.com</t>
        </is>
      </c>
      <c r="F235" s="4" t="inlineStr">
        <is>
          <t>+44 794 458 4053, 020 7333 6207</t>
        </is>
      </c>
      <c r="G235" s="6" t="inlineStr">
        <is>
          <t>2026-02-06</t>
        </is>
      </c>
      <c r="H235" s="6" t="inlineStr">
        <is>
          <t>2026-04-08</t>
        </is>
      </c>
      <c r="I235" s="6" t="n">
        <v>7</v>
      </c>
      <c r="J235" s="6" t="n">
        <v>0</v>
      </c>
      <c r="K235" s="4" t="inlineStr">
        <is>
          <t>Direct correspondence</t>
        </is>
      </c>
      <c r="L235" s="7" t="inlineStr">
        <is>
          <t>Lead valuer on 1 Westmoreland Road, Bromley</t>
        </is>
      </c>
    </row>
    <row r="236">
      <c r="A236" s="4" t="inlineStr">
        <is>
          <t>Rosanna Cole</t>
        </is>
      </c>
      <c r="B236" s="13" t="inlineStr">
        <is>
          <t>Valuer / Property Professional</t>
        </is>
      </c>
      <c r="C236" s="4" t="inlineStr">
        <is>
          <t>Newmark</t>
        </is>
      </c>
      <c r="D236" s="4" t="inlineStr">
        <is>
          <t>Associate, Newmark Planning and Development</t>
        </is>
      </c>
      <c r="E236" s="4" t="inlineStr">
        <is>
          <t>rosanna.cole@nmrk.com</t>
        </is>
      </c>
      <c r="F236" s="4" t="inlineStr">
        <is>
          <t>+44 7387537081, 020 3486 3667</t>
        </is>
      </c>
      <c r="G236" s="6" t="inlineStr">
        <is>
          <t>2026-02-06</t>
        </is>
      </c>
      <c r="H236" s="6" t="inlineStr">
        <is>
          <t>2026-04-08</t>
        </is>
      </c>
      <c r="I236" s="6" t="n">
        <v>7</v>
      </c>
      <c r="J236" s="6" t="n">
        <v>0</v>
      </c>
      <c r="K236" s="4" t="inlineStr">
        <is>
          <t>Direct correspondence</t>
        </is>
      </c>
      <c r="L236" s="7" t="inlineStr">
        <is>
          <t>Working draft valuation figures for 1 Westmoreland Road, Bromley</t>
        </is>
      </c>
    </row>
    <row r="237">
      <c r="A237" s="4" t="inlineStr">
        <is>
          <t>John Loveday</t>
        </is>
      </c>
      <c r="B237" s="13" t="inlineStr">
        <is>
          <t>Valuer / Property Professional</t>
        </is>
      </c>
      <c r="C237" s="4" t="inlineStr">
        <is>
          <t>Smith Price RRG</t>
        </is>
      </c>
      <c r="D237" s="4" t="inlineStr"/>
      <c r="E237" s="4" t="inlineStr">
        <is>
          <t>johnloveday@sprrg.co.uk</t>
        </is>
      </c>
      <c r="F237" s="4" t="inlineStr">
        <is>
          <t>+44 20 7409 2100, +44 7778 158125</t>
        </is>
      </c>
      <c r="G237" s="6" t="inlineStr">
        <is>
          <t>2025-12-17</t>
        </is>
      </c>
      <c r="H237" s="6" t="inlineStr">
        <is>
          <t>2026-02-18</t>
        </is>
      </c>
      <c r="I237" s="6" t="n">
        <v>0</v>
      </c>
      <c r="J237" s="6" t="n">
        <v>0</v>
      </c>
      <c r="K237" s="8" t="inlineStr">
        <is>
          <t>Named in a thread</t>
        </is>
      </c>
      <c r="L237" s="7" t="inlineStr">
        <is>
          <t>Smith Price RRG surveyor acting for the Post Office tenant at TG Jones, Uxbridge, opposite the landlord on REL's DNA Uxbridge (Belmont Place) security.</t>
        </is>
      </c>
    </row>
    <row r="238">
      <c r="A238" s="4" t="inlineStr">
        <is>
          <t>Gordon Thrower</t>
        </is>
      </c>
      <c r="B238" s="14" t="inlineStr">
        <is>
          <t>Accountant / Tax</t>
        </is>
      </c>
      <c r="C238" s="4" t="inlineStr">
        <is>
          <t>MHA</t>
        </is>
      </c>
      <c r="D238" s="4" t="inlineStr"/>
      <c r="E238" s="4" t="inlineStr">
        <is>
          <t>gordon.thrower@mha.co.uk</t>
        </is>
      </c>
      <c r="F238" s="4" t="inlineStr"/>
      <c r="G238" s="6" t="inlineStr">
        <is>
          <t>2026-06-17</t>
        </is>
      </c>
      <c r="H238" s="6" t="inlineStr">
        <is>
          <t>2026-06-17</t>
        </is>
      </c>
      <c r="I238" s="6" t="n">
        <v>0</v>
      </c>
      <c r="J238" s="6" t="n">
        <v>0</v>
      </c>
      <c r="K238" s="8" t="inlineStr">
        <is>
          <t>Named in a thread</t>
        </is>
      </c>
      <c r="L238" s="7" t="inlineStr"/>
    </row>
    <row r="239">
      <c r="A239" s="4" t="inlineStr">
        <is>
          <t>MHA Payroll Services</t>
        </is>
      </c>
      <c r="B239" s="14" t="inlineStr">
        <is>
          <t>Accountant / Tax</t>
        </is>
      </c>
      <c r="C239" s="4" t="inlineStr">
        <is>
          <t>MHA</t>
        </is>
      </c>
      <c r="D239" s="4" t="inlineStr">
        <is>
          <t>Outsource Services</t>
        </is>
      </c>
      <c r="E239" s="4" t="inlineStr">
        <is>
          <t>macintyrehudsonpayrollservices@mha.co.uk</t>
        </is>
      </c>
      <c r="F239" s="4" t="inlineStr">
        <is>
          <t>+44 (0)121 237 1855, +44 (0)20 7429 4100</t>
        </is>
      </c>
      <c r="G239" s="6" t="inlineStr">
        <is>
          <t>2026-06-19</t>
        </is>
      </c>
      <c r="H239" s="6" t="inlineStr">
        <is>
          <t>2026-07-15</t>
        </is>
      </c>
      <c r="I239" s="6" t="n">
        <v>1</v>
      </c>
      <c r="J239" s="6" t="n">
        <v>0</v>
      </c>
      <c r="K239" s="4" t="inlineStr">
        <is>
          <t>Direct correspondence</t>
        </is>
      </c>
      <c r="L239" s="7" t="inlineStr">
        <is>
          <t>Runs REL Finance monthly payroll input</t>
        </is>
      </c>
    </row>
    <row r="240">
      <c r="A240" s="4" t="inlineStr">
        <is>
          <t>Neil Stern</t>
        </is>
      </c>
      <c r="B240" s="14" t="inlineStr">
        <is>
          <t>Accountant / Tax</t>
        </is>
      </c>
      <c r="C240" s="4" t="inlineStr">
        <is>
          <t>MHA</t>
        </is>
      </c>
      <c r="D240" s="4" t="inlineStr"/>
      <c r="E240" s="4" t="inlineStr">
        <is>
          <t>neil.stern@mha.co.uk</t>
        </is>
      </c>
      <c r="F240" s="4" t="inlineStr"/>
      <c r="G240" s="6" t="inlineStr">
        <is>
          <t>2025-01-27</t>
        </is>
      </c>
      <c r="H240" s="6" t="inlineStr">
        <is>
          <t>2026-09-10</t>
        </is>
      </c>
      <c r="I240" s="6" t="n">
        <v>0</v>
      </c>
      <c r="J240" s="6" t="n">
        <v>0</v>
      </c>
      <c r="K240" s="8" t="inlineStr">
        <is>
          <t>Named in a thread</t>
        </is>
      </c>
      <c r="L240" s="7" t="inlineStr">
        <is>
          <t>Senior MHA contact on REL management accounts and the DNA Uxbridge deal</t>
        </is>
      </c>
    </row>
    <row r="241">
      <c r="A241" s="4" t="inlineStr">
        <is>
          <t>Selena Mariposa</t>
        </is>
      </c>
      <c r="B241" s="14" t="inlineStr">
        <is>
          <t>Accountant / Tax</t>
        </is>
      </c>
      <c r="C241" s="4" t="inlineStr">
        <is>
          <t>MHA</t>
        </is>
      </c>
      <c r="D241" s="4" t="inlineStr"/>
      <c r="E241" s="4" t="inlineStr">
        <is>
          <t>selena.mariposa@mha.co.uk</t>
        </is>
      </c>
      <c r="F241" s="4" t="inlineStr"/>
      <c r="G241" s="6" t="inlineStr">
        <is>
          <t>2026-06-17</t>
        </is>
      </c>
      <c r="H241" s="6" t="inlineStr">
        <is>
          <t>2026-09-10</t>
        </is>
      </c>
      <c r="I241" s="6" t="n">
        <v>0</v>
      </c>
      <c r="J241" s="6" t="n">
        <v>0</v>
      </c>
      <c r="K241" s="8" t="inlineStr">
        <is>
          <t>Named in a thread</t>
        </is>
      </c>
      <c r="L241" s="7" t="inlineStr"/>
    </row>
    <row r="242">
      <c r="A242" s="4" t="inlineStr">
        <is>
          <t>Taimur Sultan</t>
        </is>
      </c>
      <c r="B242" s="14" t="inlineStr">
        <is>
          <t>Accountant / Tax</t>
        </is>
      </c>
      <c r="C242" s="4" t="inlineStr">
        <is>
          <t>MHA</t>
        </is>
      </c>
      <c r="D242" s="4" t="inlineStr">
        <is>
          <t>Accounts Manager</t>
        </is>
      </c>
      <c r="E242" s="4" t="inlineStr">
        <is>
          <t>taimur.sultan@mha.co.uk</t>
        </is>
      </c>
      <c r="F242" s="4" t="inlineStr">
        <is>
          <t>+44 (0)204 546 6050</t>
        </is>
      </c>
      <c r="G242" s="6" t="inlineStr">
        <is>
          <t>2025-01-27</t>
        </is>
      </c>
      <c r="H242" s="6" t="inlineStr">
        <is>
          <t>2026-09-10</t>
        </is>
      </c>
      <c r="I242" s="6" t="n">
        <v>28</v>
      </c>
      <c r="J242" s="6" t="n">
        <v>1</v>
      </c>
      <c r="K242" s="4" t="inlineStr">
        <is>
          <t>Direct correspondence</t>
        </is>
      </c>
      <c r="L242" s="7" t="inlineStr">
        <is>
          <t>Prepares REL's quarterly management accounts - day-to-day MHA contact</t>
        </is>
      </c>
    </row>
    <row r="243">
      <c r="A243" s="4" t="inlineStr">
        <is>
          <t>Nina Levitin</t>
        </is>
      </c>
      <c r="B243" s="15" t="inlineStr">
        <is>
          <t>Service Provider</t>
        </is>
      </c>
      <c r="C243" s="4" t="inlineStr">
        <is>
          <t>ComplyAdvantage</t>
        </is>
      </c>
      <c r="D243" s="4" t="inlineStr"/>
      <c r="E243" s="4" t="inlineStr">
        <is>
          <t>nina.levitin@complyadvantage.com</t>
        </is>
      </c>
      <c r="F243" s="4" t="inlineStr"/>
      <c r="G243" s="6" t="inlineStr">
        <is>
          <t>2026-08-17</t>
        </is>
      </c>
      <c r="H243" s="6" t="inlineStr">
        <is>
          <t>2026-08-18</t>
        </is>
      </c>
      <c r="I243" s="6" t="n">
        <v>2</v>
      </c>
      <c r="J243" s="6" t="n">
        <v>1</v>
      </c>
      <c r="K243" s="4" t="inlineStr">
        <is>
          <t>Direct correspondence</t>
        </is>
      </c>
      <c r="L243" s="7" t="inlineStr">
        <is>
          <t>AML and sanctions screening vendor; ComplyLaunch application and Mesh pricing.</t>
        </is>
      </c>
    </row>
    <row r="244">
      <c r="A244" s="4" t="inlineStr">
        <is>
          <t>Rob</t>
        </is>
      </c>
      <c r="B244" s="15" t="inlineStr">
        <is>
          <t>Service Provider</t>
        </is>
      </c>
      <c r="C244" s="4" t="inlineStr">
        <is>
          <t>Feed.fm</t>
        </is>
      </c>
      <c r="D244" s="4" t="inlineStr"/>
      <c r="E244" s="4" t="inlineStr">
        <is>
          <t>rob@feed.fm</t>
        </is>
      </c>
      <c r="F244" s="4" t="inlineStr"/>
      <c r="G244" s="6" t="inlineStr">
        <is>
          <t>2026-07-22</t>
        </is>
      </c>
      <c r="H244" s="6" t="inlineStr">
        <is>
          <t>2026-07-22</t>
        </is>
      </c>
      <c r="I244" s="6" t="n">
        <v>1</v>
      </c>
      <c r="J244" s="6" t="n">
        <v>0</v>
      </c>
      <c r="K244" s="4" t="inlineStr">
        <is>
          <t>Direct correspondence</t>
        </is>
      </c>
      <c r="L244" s="7" t="inlineStr">
        <is>
          <t>Replied to an Adaptr (Feed.fm) music licensing web enquiry.</t>
        </is>
      </c>
    </row>
    <row r="245">
      <c r="A245" s="4" t="inlineStr">
        <is>
          <t>Tyler Sear</t>
        </is>
      </c>
      <c r="B245" s="15" t="inlineStr">
        <is>
          <t>Service Provider</t>
        </is>
      </c>
      <c r="C245" s="4" t="inlineStr">
        <is>
          <t>Green Cardinal Design</t>
        </is>
      </c>
      <c r="D245" s="4" t="inlineStr">
        <is>
          <t>Founder</t>
        </is>
      </c>
      <c r="E245" s="4" t="inlineStr">
        <is>
          <t>tyler@green-cardinaldesign.com</t>
        </is>
      </c>
      <c r="F245" s="4" t="inlineStr">
        <is>
          <t>07881941338</t>
        </is>
      </c>
      <c r="G245" s="6" t="inlineStr">
        <is>
          <t>2026-04-01</t>
        </is>
      </c>
      <c r="H245" s="6" t="inlineStr">
        <is>
          <t>2026-07-28</t>
        </is>
      </c>
      <c r="I245" s="6" t="n">
        <v>16</v>
      </c>
      <c r="J245" s="6" t="n">
        <v>1</v>
      </c>
      <c r="K245" s="4" t="inlineStr">
        <is>
          <t>Direct correspondence</t>
        </is>
      </c>
      <c r="L245" s="7" t="inlineStr">
        <is>
          <t>Builds and maintains the REL Finance website; sends monthly traffic analytics</t>
        </is>
      </c>
    </row>
    <row r="246">
      <c r="A246" s="4" t="inlineStr">
        <is>
          <t>Office of Financial Sanctions Implementation</t>
        </is>
      </c>
      <c r="B246" s="15" t="inlineStr">
        <is>
          <t>Service Provider</t>
        </is>
      </c>
      <c r="C246" s="4" t="inlineStr">
        <is>
          <t>HM Treasury</t>
        </is>
      </c>
      <c r="D246" s="4" t="inlineStr"/>
      <c r="E246" s="4" t="inlineStr">
        <is>
          <t>ofsi@hmtreasury.gov.uk</t>
        </is>
      </c>
      <c r="F246" s="4" t="inlineStr"/>
      <c r="G246" s="6" t="inlineStr">
        <is>
          <t>2026-03-18</t>
        </is>
      </c>
      <c r="H246" s="6" t="inlineStr">
        <is>
          <t>2026-05-11</t>
        </is>
      </c>
      <c r="I246" s="6" t="n">
        <v>0</v>
      </c>
      <c r="J246" s="6" t="n">
        <v>0</v>
      </c>
      <c r="K246" s="8" t="inlineStr">
        <is>
          <t>Named in a thread</t>
        </is>
      </c>
      <c r="L246" s="7" t="inlineStr">
        <is>
          <t>HM Treasury sanctions unit handling REL's OFSI submission INT/2025/8106728</t>
        </is>
      </c>
    </row>
    <row r="247">
      <c r="A247" s="4" t="inlineStr">
        <is>
          <t>Laurel Weikert</t>
        </is>
      </c>
      <c r="B247" s="15" t="inlineStr">
        <is>
          <t>Service Provider</t>
        </is>
      </c>
      <c r="C247" s="4" t="inlineStr">
        <is>
          <t>Rippling</t>
        </is>
      </c>
      <c r="D247" s="4" t="inlineStr">
        <is>
          <t>Account Executive</t>
        </is>
      </c>
      <c r="E247" s="4" t="inlineStr">
        <is>
          <t>laurel.j.weikert@rippling.com</t>
        </is>
      </c>
      <c r="F247" s="4" t="inlineStr"/>
      <c r="G247" s="6" t="inlineStr">
        <is>
          <t>2026-05-15</t>
        </is>
      </c>
      <c r="H247" s="6" t="inlineStr">
        <is>
          <t>2026-05-18</t>
        </is>
      </c>
      <c r="I247" s="6" t="n">
        <v>2</v>
      </c>
      <c r="J247" s="6" t="n">
        <v>0</v>
      </c>
      <c r="K247" s="4" t="inlineStr">
        <is>
          <t>Direct correspondence</t>
        </is>
      </c>
      <c r="L247" s="7" t="inlineStr">
        <is>
          <t>Rippling HR/payroll platform sales rep prospecting REL</t>
        </is>
      </c>
    </row>
    <row r="248">
      <c r="A248" s="4" t="inlineStr">
        <is>
          <t>Benji Dymant</t>
        </is>
      </c>
      <c r="B248" s="15" t="inlineStr">
        <is>
          <t>Service Provider</t>
        </is>
      </c>
      <c r="C248" s="4" t="inlineStr">
        <is>
          <t>Teneo</t>
        </is>
      </c>
      <c r="D248" s="4" t="inlineStr">
        <is>
          <t>Senior Managing Director</t>
        </is>
      </c>
      <c r="E248" s="4" t="inlineStr">
        <is>
          <t>benji.dymant@teneo.com</t>
        </is>
      </c>
      <c r="F248" s="4" t="inlineStr"/>
      <c r="G248" s="6" t="inlineStr">
        <is>
          <t>2026-04-14</t>
        </is>
      </c>
      <c r="H248" s="6" t="inlineStr">
        <is>
          <t>2026-09-02</t>
        </is>
      </c>
      <c r="I248" s="6" t="n">
        <v>1</v>
      </c>
      <c r="J248" s="6" t="n">
        <v>1</v>
      </c>
      <c r="K248" s="4" t="inlineStr">
        <is>
          <t>Direct correspondence</t>
        </is>
      </c>
      <c r="L248" s="7" t="inlineStr">
        <is>
          <t>Teneo advisory on the OFSI sanctions licence submission INT/2025/8106728</t>
        </is>
      </c>
    </row>
    <row r="249">
      <c r="A249" s="4" t="inlineStr">
        <is>
          <t>Charlotte Summers</t>
        </is>
      </c>
      <c r="B249" s="15" t="inlineStr">
        <is>
          <t>Service Provider</t>
        </is>
      </c>
      <c r="C249" s="4" t="inlineStr">
        <is>
          <t>Teneo</t>
        </is>
      </c>
      <c r="D249" s="4" t="inlineStr"/>
      <c r="E249" s="4" t="inlineStr">
        <is>
          <t>charlotte.summers@teneo.com</t>
        </is>
      </c>
      <c r="F249" s="4" t="inlineStr"/>
      <c r="G249" s="6" t="inlineStr">
        <is>
          <t>2026-08-26</t>
        </is>
      </c>
      <c r="H249" s="6" t="inlineStr">
        <is>
          <t>2026-08-27</t>
        </is>
      </c>
      <c r="I249" s="6" t="n">
        <v>0</v>
      </c>
      <c r="J249" s="6" t="n">
        <v>0</v>
      </c>
      <c r="K249" s="8" t="inlineStr">
        <is>
          <t>Named in a thread</t>
        </is>
      </c>
      <c r="L249" s="7" t="inlineStr">
        <is>
          <t>On the DNA Uxbridge / Teneo workstream with Rebecca Leeser and Benji Dymant.</t>
        </is>
      </c>
    </row>
    <row r="250">
      <c r="A250" s="4" t="inlineStr">
        <is>
          <t>Hugo Clark</t>
        </is>
      </c>
      <c r="B250" s="15" t="inlineStr">
        <is>
          <t>Service Provider</t>
        </is>
      </c>
      <c r="C250" s="4" t="inlineStr">
        <is>
          <t>Teneo</t>
        </is>
      </c>
      <c r="D250" s="4" t="inlineStr"/>
      <c r="E250" s="4" t="inlineStr">
        <is>
          <t>hugo.clark@teneo.com</t>
        </is>
      </c>
      <c r="F250" s="4" t="inlineStr"/>
      <c r="G250" s="6" t="inlineStr">
        <is>
          <t>2026-08-26</t>
        </is>
      </c>
      <c r="H250" s="6" t="inlineStr">
        <is>
          <t>2026-08-27</t>
        </is>
      </c>
      <c r="I250" s="6" t="n">
        <v>0</v>
      </c>
      <c r="J250" s="6" t="n">
        <v>0</v>
      </c>
      <c r="K250" s="8" t="inlineStr">
        <is>
          <t>Named in a thread</t>
        </is>
      </c>
      <c r="L250" s="7" t="inlineStr">
        <is>
          <t>On the DNA Uxbridge / Teneo workstream.</t>
        </is>
      </c>
    </row>
    <row r="251">
      <c r="A251" s="4" t="inlineStr">
        <is>
          <t>Matt Mawhinney</t>
        </is>
      </c>
      <c r="B251" s="15" t="inlineStr">
        <is>
          <t>Service Provider</t>
        </is>
      </c>
      <c r="C251" s="4" t="inlineStr">
        <is>
          <t>Teneo</t>
        </is>
      </c>
      <c r="D251" s="4" t="inlineStr"/>
      <c r="E251" s="4" t="inlineStr">
        <is>
          <t>matt.mawhinney@teneo.com</t>
        </is>
      </c>
      <c r="F251" s="4" t="inlineStr"/>
      <c r="G251" s="6" t="inlineStr">
        <is>
          <t>2026-08-26</t>
        </is>
      </c>
      <c r="H251" s="6" t="inlineStr">
        <is>
          <t>2026-08-27</t>
        </is>
      </c>
      <c r="I251" s="6" t="n">
        <v>0</v>
      </c>
      <c r="J251" s="6" t="n">
        <v>0</v>
      </c>
      <c r="K251" s="8" t="inlineStr">
        <is>
          <t>Named in a thread</t>
        </is>
      </c>
      <c r="L251" s="7" t="inlineStr">
        <is>
          <t>On the DNA Uxbridge / Teneo workstream.</t>
        </is>
      </c>
    </row>
    <row r="252">
      <c r="A252" s="4" t="inlineStr">
        <is>
          <t>Rebecca Leeser</t>
        </is>
      </c>
      <c r="B252" s="15" t="inlineStr">
        <is>
          <t>Service Provider</t>
        </is>
      </c>
      <c r="C252" s="4" t="inlineStr">
        <is>
          <t>Teneo</t>
        </is>
      </c>
      <c r="D252" s="4" t="inlineStr"/>
      <c r="E252" s="4" t="inlineStr">
        <is>
          <t>rebecca.leeser@teneo.com</t>
        </is>
      </c>
      <c r="F252" s="4" t="inlineStr"/>
      <c r="G252" s="6" t="inlineStr">
        <is>
          <t>2026-04-14</t>
        </is>
      </c>
      <c r="H252" s="6" t="inlineStr">
        <is>
          <t>2026-09-02</t>
        </is>
      </c>
      <c r="I252" s="6" t="n">
        <v>0</v>
      </c>
      <c r="J252" s="6" t="n">
        <v>0</v>
      </c>
      <c r="K252" s="8" t="inlineStr">
        <is>
          <t>Named in a thread</t>
        </is>
      </c>
      <c r="L252" s="7" t="inlineStr">
        <is>
          <t>Teneo team on the OFSI sanctions licence submission</t>
        </is>
      </c>
    </row>
    <row r="253">
      <c r="A253" s="4" t="inlineStr">
        <is>
          <t>Tashin Morjaria</t>
        </is>
      </c>
      <c r="B253" s="16" t="inlineStr">
        <is>
          <t>Internal</t>
        </is>
      </c>
      <c r="C253" s="4" t="inlineStr">
        <is>
          <t>Morka Group</t>
        </is>
      </c>
      <c r="D253" s="4" t="inlineStr">
        <is>
          <t>Director</t>
        </is>
      </c>
      <c r="E253" s="4" t="inlineStr">
        <is>
          <t>tashin@morkagroup.com</t>
        </is>
      </c>
      <c r="F253" s="4" t="inlineStr"/>
      <c r="G253" s="6" t="inlineStr">
        <is>
          <t>2025-02-04</t>
        </is>
      </c>
      <c r="H253" s="6" t="inlineStr">
        <is>
          <t>2026-07-22</t>
        </is>
      </c>
      <c r="I253" s="6" t="n">
        <v>2</v>
      </c>
      <c r="J253" s="6" t="n">
        <v>0</v>
      </c>
      <c r="K253" s="4" t="inlineStr">
        <is>
          <t>Direct correspondence</t>
        </is>
      </c>
      <c r="L253" s="7" t="inlineStr">
        <is>
          <t>REL Finance Director writing from his Morka Group address</t>
        </is>
      </c>
    </row>
    <row r="254">
      <c r="A254" s="4" t="inlineStr">
        <is>
          <t>Chloe Jiang</t>
        </is>
      </c>
      <c r="B254" s="16" t="inlineStr">
        <is>
          <t>Internal</t>
        </is>
      </c>
      <c r="C254" s="4" t="inlineStr">
        <is>
          <t>REL Finance</t>
        </is>
      </c>
      <c r="D254" s="4" t="inlineStr">
        <is>
          <t>Head of Investor Relations</t>
        </is>
      </c>
      <c r="E254" s="4" t="inlineStr">
        <is>
          <t>info@relfinance.co.uk</t>
        </is>
      </c>
      <c r="F254" s="4" t="inlineStr">
        <is>
          <t>+44 7788 284403</t>
        </is>
      </c>
      <c r="G254" s="6" t="inlineStr">
        <is>
          <t>2026-07-22</t>
        </is>
      </c>
      <c r="H254" s="6" t="inlineStr">
        <is>
          <t>2026-07-22</t>
        </is>
      </c>
      <c r="I254" s="6" t="n">
        <v>1</v>
      </c>
      <c r="J254" s="6" t="n">
        <v>0</v>
      </c>
      <c r="K254" s="4" t="inlineStr">
        <is>
          <t>Direct correspondence</t>
        </is>
      </c>
      <c r="L254" s="7" t="inlineStr">
        <is>
          <t>REL general enquiries inbox; forwarded the Priory Park Hotel, Kilburn development exit bridge enquiry</t>
        </is>
      </c>
    </row>
    <row r="255">
      <c r="A255" s="4" t="inlineStr">
        <is>
          <t>Sophie Thornton</t>
        </is>
      </c>
      <c r="B255" s="16" t="inlineStr">
        <is>
          <t>Internal</t>
        </is>
      </c>
      <c r="C255" s="4" t="inlineStr">
        <is>
          <t>REL Finance</t>
        </is>
      </c>
      <c r="D255" s="4" t="inlineStr"/>
      <c r="E255" s="4" t="inlineStr">
        <is>
          <t>sophie@relfinance.co.uk</t>
        </is>
      </c>
      <c r="F255" s="4" t="inlineStr"/>
      <c r="G255" s="6" t="inlineStr">
        <is>
          <t>2025-10-06</t>
        </is>
      </c>
      <c r="H255" s="6" t="inlineStr">
        <is>
          <t>2026-02-18</t>
        </is>
      </c>
      <c r="I255" s="6" t="n">
        <v>1</v>
      </c>
      <c r="J255" s="6" t="n">
        <v>1</v>
      </c>
      <c r="K255" s="4" t="inlineStr">
        <is>
          <t>Direct correspondence</t>
        </is>
      </c>
      <c r="L255" s="7" t="inlineStr">
        <is>
          <t>REL colleague; Teams admin and Oryx 2 scheduled payment notifications</t>
        </is>
      </c>
    </row>
    <row r="256">
      <c r="A256" s="4" t="inlineStr">
        <is>
          <t>Sumeer Bose</t>
        </is>
      </c>
      <c r="B256" s="16" t="inlineStr">
        <is>
          <t>Internal</t>
        </is>
      </c>
      <c r="C256" s="4" t="inlineStr">
        <is>
          <t>REL Finance</t>
        </is>
      </c>
      <c r="D256" s="4" t="inlineStr">
        <is>
          <t>Director</t>
        </is>
      </c>
      <c r="E256" s="4" t="inlineStr">
        <is>
          <t>bosesumeer@gmail.com</t>
        </is>
      </c>
      <c r="F256" s="4" t="inlineStr"/>
      <c r="G256" s="6" t="inlineStr">
        <is>
          <t>2026-04-22</t>
        </is>
      </c>
      <c r="H256" s="6" t="inlineStr">
        <is>
          <t>2026-08-11</t>
        </is>
      </c>
      <c r="I256" s="6" t="n">
        <v>3</v>
      </c>
      <c r="J256" s="6" t="n">
        <v>0</v>
      </c>
      <c r="K256" s="4" t="inlineStr">
        <is>
          <t>Direct correspondence</t>
        </is>
      </c>
      <c r="L256" s="7" t="inlineStr">
        <is>
          <t>Personal Gmail of REL director Sumeer Bose; used to forward domain/SaaS admin notices</t>
        </is>
      </c>
    </row>
    <row r="257">
      <c r="A257" s="4" t="inlineStr">
        <is>
          <t>Sumeer Bose</t>
        </is>
      </c>
      <c r="B257" s="16" t="inlineStr">
        <is>
          <t>Internal</t>
        </is>
      </c>
      <c r="C257" s="4" t="inlineStr">
        <is>
          <t>REL Finance</t>
        </is>
      </c>
      <c r="D257" s="4" t="inlineStr">
        <is>
          <t>Director</t>
        </is>
      </c>
      <c r="E257" s="4" t="inlineStr">
        <is>
          <t>sumeer@relfinance.co.uk</t>
        </is>
      </c>
      <c r="F257" s="4" t="inlineStr">
        <is>
          <t>+44 7825216771</t>
        </is>
      </c>
      <c r="G257" s="6" t="inlineStr">
        <is>
          <t>2025-01-21</t>
        </is>
      </c>
      <c r="H257" s="6" t="inlineStr">
        <is>
          <t>2026-09-14</t>
        </is>
      </c>
      <c r="I257" s="6" t="n">
        <v>595</v>
      </c>
      <c r="J257" s="6" t="n">
        <v>197</v>
      </c>
      <c r="K257" s="4" t="inlineStr">
        <is>
          <t>Direct correspondence</t>
        </is>
      </c>
      <c r="L257" s="7" t="inlineStr">
        <is>
          <t>REL director; fronts origination, terms and loan management across the book</t>
        </is>
      </c>
    </row>
    <row r="258">
      <c r="A258" s="4" t="inlineStr">
        <is>
          <t>Tashin Morjaria</t>
        </is>
      </c>
      <c r="B258" s="16" t="inlineStr">
        <is>
          <t>Internal</t>
        </is>
      </c>
      <c r="C258" s="4" t="inlineStr">
        <is>
          <t>REL Finance</t>
        </is>
      </c>
      <c r="D258" s="4" t="inlineStr">
        <is>
          <t>Director</t>
        </is>
      </c>
      <c r="E258" s="4" t="inlineStr">
        <is>
          <t>tashin@relfinance.co.uk</t>
        </is>
      </c>
      <c r="F258" s="4" t="inlineStr">
        <is>
          <t>+44 7739555265</t>
        </is>
      </c>
      <c r="G258" s="6" t="inlineStr">
        <is>
          <t>2025-01-21</t>
        </is>
      </c>
      <c r="H258" s="6" t="inlineStr">
        <is>
          <t>2026-09-14</t>
        </is>
      </c>
      <c r="I258" s="6" t="n">
        <v>313</v>
      </c>
      <c r="J258" s="6" t="n">
        <v>185</v>
      </c>
      <c r="K258" s="4" t="inlineStr">
        <is>
          <t>Direct correspondence</t>
        </is>
      </c>
      <c r="L258" s="7" t="inlineStr">
        <is>
          <t>REL director; fronts origination and deal execution across the book</t>
        </is>
      </c>
    </row>
    <row r="259">
      <c r="A259" s="4" t="inlineStr">
        <is>
          <t>Shyam Lakhani</t>
        </is>
      </c>
      <c r="B259" s="17" t="inlineStr">
        <is>
          <t>Personal / Other</t>
        </is>
      </c>
      <c r="C259" s="4" t="inlineStr">
        <is>
          <t>Department for Education</t>
        </is>
      </c>
      <c r="D259" s="4" t="inlineStr"/>
      <c r="E259" s="4" t="inlineStr">
        <is>
          <t>shyam.lakhani@education.gov.uk</t>
        </is>
      </c>
      <c r="F259" s="4" t="inlineStr"/>
      <c r="G259" s="6" t="inlineStr">
        <is>
          <t>2025-05-19</t>
        </is>
      </c>
      <c r="H259" s="6" t="inlineStr">
        <is>
          <t>2025-06-05</t>
        </is>
      </c>
      <c r="I259" s="6" t="n">
        <v>0</v>
      </c>
      <c r="J259" s="6" t="n">
        <v>5</v>
      </c>
      <c r="K259" s="4" t="inlineStr">
        <is>
          <t>Direct correspondence</t>
        </is>
      </c>
      <c r="L259" s="7" t="inlineStr">
        <is>
          <t>Mailbox owner's former Department for Education address, used for self-forwarded mail.</t>
        </is>
      </c>
    </row>
    <row r="260">
      <c r="A260" s="4" t="inlineStr">
        <is>
          <t>Rishi</t>
        </is>
      </c>
      <c r="B260" s="17" t="inlineStr">
        <is>
          <t>Personal / Other</t>
        </is>
      </c>
      <c r="C260" s="4" t="inlineStr">
        <is>
          <t>Keylife Financial Services</t>
        </is>
      </c>
      <c r="D260" s="4" t="inlineStr"/>
      <c r="E260" s="4" t="inlineStr">
        <is>
          <t>rishi@keylifefs.com</t>
        </is>
      </c>
      <c r="F260" s="4" t="inlineStr"/>
      <c r="G260" s="6" t="inlineStr">
        <is>
          <t>2026-07-30</t>
        </is>
      </c>
      <c r="H260" s="6" t="inlineStr">
        <is>
          <t>2026-07-30</t>
        </is>
      </c>
      <c r="I260" s="6" t="n">
        <v>0</v>
      </c>
      <c r="J260" s="6" t="n">
        <v>2</v>
      </c>
      <c r="K260" s="4" t="inlineStr">
        <is>
          <t>Direct correspondence</t>
        </is>
      </c>
      <c r="L260" s="7" t="inlineStr">
        <is>
          <t>New contact 30/07 — Shyam sent his work email and the REL website. No deal traffic yet, so the category is a placeholder; correct it once his role is clear.</t>
        </is>
      </c>
    </row>
    <row r="261">
      <c r="A261" s="4" t="inlineStr">
        <is>
          <t>Abdul Rashid</t>
        </is>
      </c>
      <c r="B261" s="17" t="inlineStr">
        <is>
          <t>Personal / Other</t>
        </is>
      </c>
      <c r="C261" s="4" t="inlineStr"/>
      <c r="D261" s="4" t="inlineStr"/>
      <c r="E261" s="4" t="inlineStr">
        <is>
          <t>qabdul1rash1@gmail.com</t>
        </is>
      </c>
      <c r="F261" s="4" t="inlineStr"/>
      <c r="G261" s="6" t="inlineStr">
        <is>
          <t>2026-07-24</t>
        </is>
      </c>
      <c r="H261" s="6" t="inlineStr">
        <is>
          <t>2026-07-24</t>
        </is>
      </c>
      <c r="I261" s="6" t="n">
        <v>0</v>
      </c>
      <c r="J261" s="6" t="n">
        <v>1</v>
      </c>
      <c r="K261" s="4" t="inlineStr">
        <is>
          <t>Direct correspondence</t>
        </is>
      </c>
      <c r="L261" s="7" t="inlineStr">
        <is>
          <t>Recipient of Shyam's personal "bag radar log" file share</t>
        </is>
      </c>
    </row>
    <row r="262">
      <c r="A262" s="4" t="inlineStr">
        <is>
          <t>Anish Vora</t>
        </is>
      </c>
      <c r="B262" s="17" t="inlineStr">
        <is>
          <t>Personal / Other</t>
        </is>
      </c>
      <c r="C262" s="4" t="inlineStr"/>
      <c r="D262" s="4" t="inlineStr"/>
      <c r="E262" s="4" t="inlineStr">
        <is>
          <t>anishvora18@gmail.com</t>
        </is>
      </c>
      <c r="F262" s="4" t="inlineStr"/>
      <c r="G262" s="6" t="inlineStr">
        <is>
          <t>2025-06-24</t>
        </is>
      </c>
      <c r="H262" s="6" t="inlineStr">
        <is>
          <t>2025-06-24</t>
        </is>
      </c>
      <c r="I262" s="6" t="n">
        <v>0</v>
      </c>
      <c r="J262" s="6" t="n">
        <v>0</v>
      </c>
      <c r="K262" s="8" t="inlineStr">
        <is>
          <t>Named in a thread</t>
        </is>
      </c>
      <c r="L262" s="7" t="inlineStr"/>
    </row>
    <row r="263">
      <c r="A263" s="4" t="inlineStr">
        <is>
          <t>Chloe</t>
        </is>
      </c>
      <c r="B263" s="17" t="inlineStr">
        <is>
          <t>Personal / Other</t>
        </is>
      </c>
      <c r="C263" s="4" t="inlineStr"/>
      <c r="D263" s="4" t="inlineStr"/>
      <c r="E263" s="4" t="inlineStr">
        <is>
          <t>chloej0027@gmail.com</t>
        </is>
      </c>
      <c r="F263" s="4" t="inlineStr"/>
      <c r="G263" s="6" t="inlineStr">
        <is>
          <t>2026-07-07</t>
        </is>
      </c>
      <c r="H263" s="6" t="inlineStr">
        <is>
          <t>2026-07-07</t>
        </is>
      </c>
      <c r="I263" s="6" t="n">
        <v>0</v>
      </c>
      <c r="J263" s="6" t="n">
        <v>0</v>
      </c>
      <c r="K263" s="8" t="inlineStr">
        <is>
          <t>Named in a thread</t>
        </is>
      </c>
      <c r="L263" s="7" t="inlineStr"/>
    </row>
    <row r="264">
      <c r="A264" s="4" t="inlineStr">
        <is>
          <t>Darren Halcrow</t>
        </is>
      </c>
      <c r="B264" s="17" t="inlineStr">
        <is>
          <t>Personal / Other</t>
        </is>
      </c>
      <c r="C264" s="4" t="inlineStr"/>
      <c r="D264" s="4" t="inlineStr"/>
      <c r="E264" s="4" t="inlineStr">
        <is>
          <t>darren.halcrow@hotmail.co.uk</t>
        </is>
      </c>
      <c r="F264" s="4" t="inlineStr"/>
      <c r="G264" s="6" t="inlineStr">
        <is>
          <t>2026-07-24</t>
        </is>
      </c>
      <c r="H264" s="6" t="inlineStr">
        <is>
          <t>2026-07-24</t>
        </is>
      </c>
      <c r="I264" s="6" t="n">
        <v>0</v>
      </c>
      <c r="J264" s="6" t="n">
        <v>1</v>
      </c>
      <c r="K264" s="4" t="inlineStr">
        <is>
          <t>Direct correspondence</t>
        </is>
      </c>
      <c r="L264" s="7" t="inlineStr">
        <is>
          <t>Recipient of Shyam's personal "bag radar log" file share</t>
        </is>
      </c>
    </row>
    <row r="265">
      <c r="A265" s="4" t="inlineStr">
        <is>
          <t>Deepesh Thakrar</t>
        </is>
      </c>
      <c r="B265" s="17" t="inlineStr">
        <is>
          <t>Personal / Other</t>
        </is>
      </c>
      <c r="C265" s="4" t="inlineStr"/>
      <c r="D265" s="4" t="inlineStr"/>
      <c r="E265" s="4" t="inlineStr">
        <is>
          <t>dc.thakrar@gmail.com</t>
        </is>
      </c>
      <c r="F265" s="4" t="inlineStr"/>
      <c r="G265" s="6" t="inlineStr">
        <is>
          <t>2026-07-21</t>
        </is>
      </c>
      <c r="H265" s="6" t="inlineStr">
        <is>
          <t>2026-08-20</t>
        </is>
      </c>
      <c r="I265" s="6" t="n">
        <v>0</v>
      </c>
      <c r="J265" s="6" t="n">
        <v>0</v>
      </c>
      <c r="K265" s="8" t="inlineStr">
        <is>
          <t>Named in a thread</t>
        </is>
      </c>
      <c r="L265" s="7" t="inlineStr"/>
    </row>
    <row r="266">
      <c r="A266" s="4" t="inlineStr">
        <is>
          <t>Gary Brooks</t>
        </is>
      </c>
      <c r="B266" s="17" t="inlineStr">
        <is>
          <t>Personal / Other</t>
        </is>
      </c>
      <c r="C266" s="4" t="inlineStr"/>
      <c r="D266" s="4" t="inlineStr"/>
      <c r="E266" s="4" t="inlineStr">
        <is>
          <t>garyjbrooks@gmail.com</t>
        </is>
      </c>
      <c r="F266" s="4" t="inlineStr"/>
      <c r="G266" s="6" t="inlineStr">
        <is>
          <t>2026-07-24</t>
        </is>
      </c>
      <c r="H266" s="6" t="inlineStr">
        <is>
          <t>2026-07-24</t>
        </is>
      </c>
      <c r="I266" s="6" t="n">
        <v>0</v>
      </c>
      <c r="J266" s="6" t="n">
        <v>1</v>
      </c>
      <c r="K266" s="4" t="inlineStr">
        <is>
          <t>Direct correspondence</t>
        </is>
      </c>
      <c r="L266" s="7" t="inlineStr">
        <is>
          <t>Recipient of Shyam's personal "bag radar log" file share</t>
        </is>
      </c>
    </row>
    <row r="267">
      <c r="A267" s="4" t="inlineStr">
        <is>
          <t>J Crypto</t>
        </is>
      </c>
      <c r="B267" s="17" t="inlineStr">
        <is>
          <t>Personal / Other</t>
        </is>
      </c>
      <c r="C267" s="4" t="inlineStr"/>
      <c r="D267" s="4" t="inlineStr"/>
      <c r="E267" s="4" t="inlineStr">
        <is>
          <t>jcrypto401@gmail.com</t>
        </is>
      </c>
      <c r="F267" s="4" t="inlineStr"/>
      <c r="G267" s="6" t="inlineStr">
        <is>
          <t>2026-06-09</t>
        </is>
      </c>
      <c r="H267" s="6" t="inlineStr">
        <is>
          <t>2026-06-09</t>
        </is>
      </c>
      <c r="I267" s="6" t="n">
        <v>2</v>
      </c>
      <c r="J267" s="6" t="n">
        <v>0</v>
      </c>
      <c r="K267" s="4" t="inlineStr">
        <is>
          <t>Direct correspondence</t>
        </is>
      </c>
      <c r="L267" s="7" t="inlineStr"/>
    </row>
    <row r="268">
      <c r="A268" s="4" t="inlineStr">
        <is>
          <t>Joel Smart</t>
        </is>
      </c>
      <c r="B268" s="17" t="inlineStr">
        <is>
          <t>Personal / Other</t>
        </is>
      </c>
      <c r="C268" s="4" t="inlineStr"/>
      <c r="D268" s="4" t="inlineStr"/>
      <c r="E268" s="4" t="inlineStr">
        <is>
          <t>joelsmart2023@gmail.com</t>
        </is>
      </c>
      <c r="F268" s="4" t="inlineStr"/>
      <c r="G268" s="6" t="inlineStr">
        <is>
          <t>2026-07-24</t>
        </is>
      </c>
      <c r="H268" s="6" t="inlineStr">
        <is>
          <t>2026-07-24</t>
        </is>
      </c>
      <c r="I268" s="6" t="n">
        <v>0</v>
      </c>
      <c r="J268" s="6" t="n">
        <v>1</v>
      </c>
      <c r="K268" s="4" t="inlineStr">
        <is>
          <t>Direct correspondence</t>
        </is>
      </c>
      <c r="L268" s="7" t="inlineStr">
        <is>
          <t>Recipient of Shyam's personal "bag radar log" file share</t>
        </is>
      </c>
    </row>
    <row r="269">
      <c r="A269" s="4" t="inlineStr">
        <is>
          <t>Malus Entity</t>
        </is>
      </c>
      <c r="B269" s="17" t="inlineStr">
        <is>
          <t>Personal / Other</t>
        </is>
      </c>
      <c r="C269" s="4" t="inlineStr"/>
      <c r="D269" s="4" t="inlineStr"/>
      <c r="E269" s="4" t="inlineStr">
        <is>
          <t>malus.entity@gmail.com</t>
        </is>
      </c>
      <c r="F269" s="4" t="inlineStr"/>
      <c r="G269" s="6" t="inlineStr">
        <is>
          <t>2026-07-24</t>
        </is>
      </c>
      <c r="H269" s="6" t="inlineStr">
        <is>
          <t>2026-07-24</t>
        </is>
      </c>
      <c r="I269" s="6" t="n">
        <v>0</v>
      </c>
      <c r="J269" s="6" t="n">
        <v>1</v>
      </c>
      <c r="K269" s="4" t="inlineStr">
        <is>
          <t>Direct correspondence</t>
        </is>
      </c>
      <c r="L269" s="7" t="inlineStr">
        <is>
          <t>Recipient of Shyam's personal "bag radar log" file share</t>
        </is>
      </c>
    </row>
    <row r="270">
      <c r="A270" s="4" t="inlineStr">
        <is>
          <t>Riana Karia</t>
        </is>
      </c>
      <c r="B270" s="17" t="inlineStr">
        <is>
          <t>Personal / Other</t>
        </is>
      </c>
      <c r="C270" s="4" t="inlineStr"/>
      <c r="D270" s="4" t="inlineStr"/>
      <c r="E270" s="4" t="inlineStr">
        <is>
          <t>rianakaria@icloud.com</t>
        </is>
      </c>
      <c r="F270" s="4" t="inlineStr"/>
      <c r="G270" s="6" t="inlineStr">
        <is>
          <t>2026-08-13</t>
        </is>
      </c>
      <c r="H270" s="6" t="inlineStr">
        <is>
          <t>2026-08-14</t>
        </is>
      </c>
      <c r="I270" s="6" t="n">
        <v>1</v>
      </c>
      <c r="J270" s="6" t="n">
        <v>0</v>
      </c>
      <c r="K270" s="4" t="inlineStr">
        <is>
          <t>Direct correspondence</t>
        </is>
      </c>
      <c r="L270" s="7" t="inlineStr">
        <is>
          <t>Authored the REL / LandlordInvest JV proposal paper sent to the directors 13/08. Personal address, no firm given — category is a placeholder until her role is clear.</t>
        </is>
      </c>
    </row>
    <row r="271">
      <c r="A271" s="4" t="inlineStr">
        <is>
          <t>Shyam Lakhani</t>
        </is>
      </c>
      <c r="B271" s="17" t="inlineStr">
        <is>
          <t>Personal / Other</t>
        </is>
      </c>
      <c r="C271" s="4" t="inlineStr"/>
      <c r="D271" s="4" t="inlineStr"/>
      <c r="E271" s="4" t="inlineStr">
        <is>
          <t>slakhani0203@gmail.com</t>
        </is>
      </c>
      <c r="F271" s="4" t="inlineStr"/>
      <c r="G271" s="6" t="inlineStr">
        <is>
          <t>2026-01-21</t>
        </is>
      </c>
      <c r="H271" s="6" t="inlineStr">
        <is>
          <t>2026-09-07</t>
        </is>
      </c>
      <c r="I271" s="6" t="n">
        <v>4</v>
      </c>
      <c r="J271" s="6" t="n">
        <v>8</v>
      </c>
      <c r="K271" s="4" t="inlineStr">
        <is>
          <t>Direct correspondence</t>
        </is>
      </c>
      <c r="L271" s="7" t="inlineStr">
        <is>
          <t>Mailbox owner's personal Gmail; REL Finance employment offer correspondence.</t>
        </is>
      </c>
    </row>
    <row r="272">
      <c r="A272" s="4" t="inlineStr">
        <is>
          <t>Shyam Lakhani</t>
        </is>
      </c>
      <c r="B272" s="17" t="inlineStr">
        <is>
          <t>Personal / Other</t>
        </is>
      </c>
      <c r="C272" s="4" t="inlineStr"/>
      <c r="D272" s="4" t="inlineStr"/>
      <c r="E272" s="4" t="inlineStr">
        <is>
          <t>shyam_302@hotmail.co.uk</t>
        </is>
      </c>
      <c r="F272" s="4" t="inlineStr"/>
      <c r="G272" s="6" t="inlineStr">
        <is>
          <t>2026-03-10</t>
        </is>
      </c>
      <c r="H272" s="6" t="inlineStr">
        <is>
          <t>2026-07-23</t>
        </is>
      </c>
      <c r="I272" s="6" t="n">
        <v>3</v>
      </c>
      <c r="J272" s="6" t="n">
        <v>0</v>
      </c>
      <c r="K272" s="4" t="inlineStr">
        <is>
          <t>Direct correspondence</t>
        </is>
      </c>
      <c r="L272" s="7" t="inlineStr">
        <is>
          <t>Mailbox owner's own personal Hotmail address</t>
        </is>
      </c>
    </row>
    <row r="273">
      <c r="A273" s="4" t="inlineStr">
        <is>
          <t>Shyam Lakhani</t>
        </is>
      </c>
      <c r="B273" s="17" t="inlineStr">
        <is>
          <t>Personal / Other</t>
        </is>
      </c>
      <c r="C273" s="4" t="inlineStr"/>
      <c r="D273" s="4" t="inlineStr"/>
      <c r="E273" s="4" t="inlineStr">
        <is>
          <t>shyamlakhani302@icloud.com</t>
        </is>
      </c>
      <c r="F273" s="4" t="inlineStr"/>
      <c r="G273" s="6" t="inlineStr">
        <is>
          <t>2026-09-10</t>
        </is>
      </c>
      <c r="H273" s="6" t="inlineStr">
        <is>
          <t>2026-09-10</t>
        </is>
      </c>
      <c r="I273" s="6" t="n">
        <v>2</v>
      </c>
      <c r="J273" s="6" t="n">
        <v>0</v>
      </c>
      <c r="K273" s="4" t="inlineStr">
        <is>
          <t>Direct correspondence</t>
        </is>
      </c>
      <c r="L273" s="7" t="inlineStr">
        <is>
          <t>Mailbox owner's own iCloud address; used to send himself documents.</t>
        </is>
      </c>
    </row>
  </sheetData>
  <autoFilter ref="A4:L273"/>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12" customWidth="1" min="2" max="2"/>
  </cols>
  <sheetData>
    <row r="1">
      <c r="A1" s="18" t="inlineStr">
        <is>
          <t>Contacts by category</t>
        </is>
      </c>
    </row>
    <row r="3">
      <c r="A3" s="19" t="inlineStr">
        <is>
          <t>Category</t>
        </is>
      </c>
      <c r="B3" s="19" t="inlineStr">
        <is>
          <t>Contacts</t>
        </is>
      </c>
    </row>
    <row r="4">
      <c r="A4" s="20" t="inlineStr">
        <is>
          <t>Broker</t>
        </is>
      </c>
      <c r="B4" s="21">
        <f>COUNTIF('Contact List'!$B$5:$B$273,A4)</f>
        <v/>
      </c>
    </row>
    <row r="5">
      <c r="A5" s="22" t="inlineStr">
        <is>
          <t>Lender / Bank</t>
        </is>
      </c>
      <c r="B5" s="21">
        <f>COUNTIF('Contact List'!$B$5:$B$273,A5)</f>
        <v/>
      </c>
    </row>
    <row r="6">
      <c r="A6" s="23" t="inlineStr">
        <is>
          <t>Borrower / Sponsor</t>
        </is>
      </c>
      <c r="B6" s="21">
        <f>COUNTIF('Contact List'!$B$5:$B$273,A6)</f>
        <v/>
      </c>
    </row>
    <row r="7">
      <c r="A7" s="24" t="inlineStr">
        <is>
          <t>Investor / Family Office</t>
        </is>
      </c>
      <c r="B7" s="21">
        <f>COUNTIF('Contact List'!$B$5:$B$273,A7)</f>
        <v/>
      </c>
    </row>
    <row r="8">
      <c r="A8" s="25" t="inlineStr">
        <is>
          <t>Solicitor / Legal</t>
        </is>
      </c>
      <c r="B8" s="21">
        <f>COUNTIF('Contact List'!$B$5:$B$273,A8)</f>
        <v/>
      </c>
    </row>
    <row r="9">
      <c r="A9" s="26" t="inlineStr">
        <is>
          <t>Valuer / Property Professional</t>
        </is>
      </c>
      <c r="B9" s="21">
        <f>COUNTIF('Contact List'!$B$5:$B$273,A9)</f>
        <v/>
      </c>
    </row>
    <row r="10">
      <c r="A10" s="27" t="inlineStr">
        <is>
          <t>Accountant / Tax</t>
        </is>
      </c>
      <c r="B10" s="21">
        <f>COUNTIF('Contact List'!$B$5:$B$273,A10)</f>
        <v/>
      </c>
    </row>
    <row r="11">
      <c r="A11" s="28" t="inlineStr">
        <is>
          <t>Service Provider</t>
        </is>
      </c>
      <c r="B11" s="21">
        <f>COUNTIF('Contact List'!$B$5:$B$273,A11)</f>
        <v/>
      </c>
    </row>
    <row r="12">
      <c r="A12" s="29" t="inlineStr">
        <is>
          <t>Internal</t>
        </is>
      </c>
      <c r="B12" s="21">
        <f>COUNTIF('Contact List'!$B$5:$B$273,A12)</f>
        <v/>
      </c>
    </row>
    <row r="13">
      <c r="A13" s="30" t="inlineStr">
        <is>
          <t>Personal / Other</t>
        </is>
      </c>
      <c r="B13" s="21">
        <f>COUNTIF('Contact List'!$B$5:$B$273,A13)</f>
        <v/>
      </c>
    </row>
    <row r="14">
      <c r="A14" s="31" t="inlineStr">
        <is>
          <t>Total</t>
        </is>
      </c>
      <c r="B14" s="32">
        <f>SUM(B4:B13)</f>
        <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33" t="inlineStr">
        <is>
          <t>REL Finance — Contact List</t>
        </is>
      </c>
    </row>
    <row r="2">
      <c r="A2" s="34" t="inlineStr"/>
    </row>
    <row r="3">
      <c r="A3" s="35" t="inlineStr">
        <is>
          <t>What this is</t>
        </is>
      </c>
    </row>
    <row r="4">
      <c r="A4" s="34" t="inlineStr">
        <is>
          <t>Every external (and internal) contact from Shyam Lakhani Outlook mailbox, categorised as Broker, Lender / Bank, Borrower / Sponsor, Solicitor / Legal, Valuer, Investor, Accountant, Service Provider, Internal or Other.</t>
        </is>
      </c>
    </row>
    <row r="5">
      <c r="A5" s="34" t="inlineStr"/>
    </row>
    <row r="6">
      <c r="A6" s="35" t="inlineStr">
        <is>
          <t>How it is produced</t>
        </is>
      </c>
    </row>
    <row r="7">
      <c r="A7" s="34" t="inlineStr">
        <is>
          <t>A weekly automated sweep reads the mailbox (Inbox, Sent Items and Archive), extracts every correspondent plus signature details (company, job title, phone), categorises them from deal context, and rebuilds this workbook. The master data lives in the dealsheet git repository (automation/contacts_data.json); this file is regenerated and re-uploaded to SharePoint automatically on every refresh.</t>
        </is>
      </c>
    </row>
    <row r="8">
      <c r="A8" s="34" t="inlineStr"/>
    </row>
    <row r="9">
      <c r="A9" s="35" t="inlineStr">
        <is>
          <t>Rules of use</t>
        </is>
      </c>
    </row>
    <row r="10">
      <c r="A10" s="34" t="inlineStr">
        <is>
          <t>1. Do NOT hand-edit this file in SharePoint — the weekly refresh overwrites it. Corrections (wrong category, name, company etc.) should go to Shyam, who will apply them to the master data so they stick.</t>
        </is>
      </c>
    </row>
    <row r="11">
      <c r="A11" s="34" t="inlineStr">
        <is>
          <t>2. 'Emails In / Out' are total messages received from / sent to that contact since Jan 2025 — a rough measure of relationship activity.</t>
        </is>
      </c>
    </row>
    <row r="12">
      <c r="A12" s="34" t="inlineStr">
        <is>
          <t>3. 'How Found' says where the address came from. 'Direct correspondence' means the contact has emailed Shyam or been emailed by them. 'Named in a thread' means the address was recovered from a forwarded message header or a quoted signature — the contact is real, but nobody at REL has emailed them from this mailbox.</t>
        </is>
      </c>
    </row>
    <row r="13">
      <c r="A13" s="34" t="inlineStr">
        <is>
          <t>4. Automated senders (newsletters, notifications, no-reply addresses) are excluded automatically.</t>
        </is>
      </c>
    </row>
    <row r="14">
      <c r="A14" s="34" t="inlineStr">
        <is>
          <t>5. Phone numbers and job titles are mined from email signatures where available; blanks mean no signature was found, not that the contact has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2026-09-14T07:29:28Z</dcterms:created>
  <dcterms:modified xsi:type="dcterms:W3CDTF">2026-09-14T07:29:28Z</dcterms:modified>
</cp:coreProperties>
</file>