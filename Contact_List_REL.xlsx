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Contact List" sheetId="1" state="visible" r:id="rId1"/>
    <sheet name="Summary" sheetId="2" state="visible" r:id="rId2"/>
    <sheet name="README" sheetId="3" state="visible" r:id="rId3"/>
  </sheets>
  <definedNames>
    <definedName name="_xlnm._FilterDatabase" localSheetId="0" hidden="1">'Contact List'!$A$4:$L$238</definedName>
  </definedNames>
  <calcPr calcId="124519" fullCalcOnLoad="1"/>
</workbook>
</file>

<file path=xl/styles.xml><?xml version="1.0" encoding="utf-8"?>
<styleSheet xmlns="http://schemas.openxmlformats.org/spreadsheetml/2006/main">
  <numFmts count="0"/>
  <fonts count="10">
    <font>
      <name val="Calibri"/>
      <family val="2"/>
      <color theme="1"/>
      <sz val="11"/>
      <scheme val="minor"/>
    </font>
    <font>
      <name val="Arial"/>
      <b val="1"/>
      <color rgb="001F3864"/>
      <sz val="16"/>
    </font>
    <font>
      <name val="Arial"/>
      <i val="1"/>
      <color rgb="00666666"/>
      <sz val="9"/>
    </font>
    <font>
      <name val="Arial"/>
      <b val="1"/>
      <color rgb="00FFFFFF"/>
      <sz val="10"/>
    </font>
    <font>
      <name val="Arial"/>
      <sz val="10"/>
    </font>
    <font>
      <name val="Arial"/>
      <i val="1"/>
      <color rgb="00808080"/>
      <sz val="10"/>
    </font>
    <font>
      <name val="Arial"/>
      <b val="1"/>
      <color rgb="001F3864"/>
      <sz val="14"/>
    </font>
    <font>
      <name val="Arial"/>
      <b val="1"/>
      <sz val="10"/>
    </font>
    <font>
      <name val="Arial"/>
      <color rgb="00000000"/>
      <sz val="10"/>
    </font>
    <font>
      <name val="Arial"/>
      <b val="1"/>
      <color rgb="001F3864"/>
      <sz val="11"/>
    </font>
  </fonts>
  <fills count="13">
    <fill>
      <patternFill/>
    </fill>
    <fill>
      <patternFill patternType="gray125"/>
    </fill>
    <fill>
      <patternFill patternType="solid">
        <fgColor rgb="001F3864"/>
      </patternFill>
    </fill>
    <fill>
      <patternFill patternType="solid">
        <fgColor rgb="00FCE4D6"/>
      </patternFill>
    </fill>
    <fill>
      <patternFill patternType="solid">
        <fgColor rgb="00DDEBF7"/>
      </patternFill>
    </fill>
    <fill>
      <patternFill patternType="solid">
        <fgColor rgb="00E2EFDA"/>
      </patternFill>
    </fill>
    <fill>
      <patternFill patternType="solid">
        <fgColor rgb="00FFF2CC"/>
      </patternFill>
    </fill>
    <fill>
      <patternFill patternType="solid">
        <fgColor rgb="00EDEDED"/>
      </patternFill>
    </fill>
    <fill>
      <patternFill patternType="solid">
        <fgColor rgb="00D9E1F2"/>
      </patternFill>
    </fill>
    <fill>
      <patternFill patternType="solid">
        <fgColor rgb="00FBE5EB"/>
      </patternFill>
    </fill>
    <fill>
      <patternFill patternType="solid">
        <fgColor rgb="00F2F2F2"/>
      </patternFill>
    </fill>
    <fill>
      <patternFill patternType="solid">
        <fgColor rgb="00C6E0B4"/>
      </patternFill>
    </fill>
    <fill>
      <patternFill patternType="solid">
        <fgColor rgb="00FFFFFF"/>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36">
    <xf numFmtId="0" fontId="0" fillId="0" borderId="0" pivotButton="0" quotePrefix="0" xfId="0"/>
    <xf numFmtId="0" fontId="1" fillId="0" borderId="0" pivotButton="0" quotePrefix="0" xfId="0"/>
    <xf numFmtId="0" fontId="2" fillId="0" borderId="0" pivotButton="0" quotePrefix="0" xfId="0"/>
    <xf numFmtId="0" fontId="3" fillId="2" borderId="1" applyAlignment="1" pivotButton="0" quotePrefix="0" xfId="0">
      <alignment horizontal="center" vertical="center" wrapText="1"/>
    </xf>
    <xf numFmtId="0" fontId="4" fillId="0" borderId="1" applyAlignment="1" pivotButton="0" quotePrefix="0" xfId="0">
      <alignment horizontal="left" vertical="top"/>
    </xf>
    <xf numFmtId="0" fontId="4" fillId="3" borderId="1" applyAlignment="1" pivotButton="0" quotePrefix="0" xfId="0">
      <alignment horizontal="left" vertical="top"/>
    </xf>
    <xf numFmtId="0" fontId="4" fillId="0" borderId="1" applyAlignment="1" pivotButton="0" quotePrefix="0" xfId="0">
      <alignment horizontal="center" vertical="top"/>
    </xf>
    <xf numFmtId="0" fontId="5" fillId="0" borderId="1" applyAlignment="1" pivotButton="0" quotePrefix="0" xfId="0">
      <alignment horizontal="left" vertical="top"/>
    </xf>
    <xf numFmtId="0" fontId="4" fillId="0" borderId="1" applyAlignment="1" pivotButton="0" quotePrefix="0" xfId="0">
      <alignment horizontal="left" vertical="top" wrapText="1"/>
    </xf>
    <xf numFmtId="0" fontId="4" fillId="4" borderId="1" applyAlignment="1" pivotButton="0" quotePrefix="0" xfId="0">
      <alignment horizontal="left" vertical="top"/>
    </xf>
    <xf numFmtId="0" fontId="4" fillId="5" borderId="1" applyAlignment="1" pivotButton="0" quotePrefix="0" xfId="0">
      <alignment horizontal="left" vertical="top"/>
    </xf>
    <xf numFmtId="0" fontId="4" fillId="6" borderId="1" applyAlignment="1" pivotButton="0" quotePrefix="0" xfId="0">
      <alignment horizontal="left" vertical="top"/>
    </xf>
    <xf numFmtId="0" fontId="4" fillId="7" borderId="1" applyAlignment="1" pivotButton="0" quotePrefix="0" xfId="0">
      <alignment horizontal="left" vertical="top"/>
    </xf>
    <xf numFmtId="0" fontId="4" fillId="8" borderId="1" applyAlignment="1" pivotButton="0" quotePrefix="0" xfId="0">
      <alignment horizontal="left" vertical="top"/>
    </xf>
    <xf numFmtId="0" fontId="4" fillId="9" borderId="1" applyAlignment="1" pivotButton="0" quotePrefix="0" xfId="0">
      <alignment horizontal="left" vertical="top"/>
    </xf>
    <xf numFmtId="0" fontId="4" fillId="10" borderId="1" applyAlignment="1" pivotButton="0" quotePrefix="0" xfId="0">
      <alignment horizontal="left" vertical="top"/>
    </xf>
    <xf numFmtId="0" fontId="4" fillId="11" borderId="1" applyAlignment="1" pivotButton="0" quotePrefix="0" xfId="0">
      <alignment horizontal="left" vertical="top"/>
    </xf>
    <xf numFmtId="0" fontId="4" fillId="12" borderId="1" applyAlignment="1" pivotButton="0" quotePrefix="0" xfId="0">
      <alignment horizontal="left" vertical="top"/>
    </xf>
    <xf numFmtId="0" fontId="6" fillId="0" borderId="0" pivotButton="0" quotePrefix="0" xfId="0"/>
    <xf numFmtId="0" fontId="3" fillId="2" borderId="1" pivotButton="0" quotePrefix="0" xfId="0"/>
    <xf numFmtId="0" fontId="4" fillId="3" borderId="1" pivotButton="0" quotePrefix="0" xfId="0"/>
    <xf numFmtId="0" fontId="4" fillId="0" borderId="1" applyAlignment="1" pivotButton="0" quotePrefix="0" xfId="0">
      <alignment horizontal="center"/>
    </xf>
    <xf numFmtId="0" fontId="4" fillId="4" borderId="1" pivotButton="0" quotePrefix="0" xfId="0"/>
    <xf numFmtId="0" fontId="4" fillId="5" borderId="1" pivotButton="0" quotePrefix="0" xfId="0"/>
    <xf numFmtId="0" fontId="4" fillId="6" borderId="1" pivotButton="0" quotePrefix="0" xfId="0"/>
    <xf numFmtId="0" fontId="4" fillId="7" borderId="1" pivotButton="0" quotePrefix="0" xfId="0"/>
    <xf numFmtId="0" fontId="4" fillId="8" borderId="1" pivotButton="0" quotePrefix="0" xfId="0"/>
    <xf numFmtId="0" fontId="4" fillId="9" borderId="1" pivotButton="0" quotePrefix="0" xfId="0"/>
    <xf numFmtId="0" fontId="4" fillId="10" borderId="1" pivotButton="0" quotePrefix="0" xfId="0"/>
    <xf numFmtId="0" fontId="4" fillId="11" borderId="1" pivotButton="0" quotePrefix="0" xfId="0"/>
    <xf numFmtId="0" fontId="4" fillId="12" borderId="1" pivotButton="0" quotePrefix="0" xfId="0"/>
    <xf numFmtId="0" fontId="7" fillId="0" borderId="1" pivotButton="0" quotePrefix="0" xfId="0"/>
    <xf numFmtId="0" fontId="7" fillId="0" borderId="1" applyAlignment="1" pivotButton="0" quotePrefix="0" xfId="0">
      <alignment horizontal="center"/>
    </xf>
    <xf numFmtId="0" fontId="6" fillId="0" borderId="0" applyAlignment="1" pivotButton="0" quotePrefix="0" xfId="0">
      <alignment vertical="top" wrapText="1"/>
    </xf>
    <xf numFmtId="0" fontId="8" fillId="0" borderId="0" applyAlignment="1" pivotButton="0" quotePrefix="0" xfId="0">
      <alignment vertical="top" wrapText="1"/>
    </xf>
    <xf numFmtId="0" fontId="9" fillId="0" borderId="0"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L238"/>
  <sheetViews>
    <sheetView workbookViewId="0">
      <pane ySplit="4" topLeftCell="A5" activePane="bottomLeft" state="frozen"/>
      <selection pane="bottomLeft" activeCell="A1" sqref="A1"/>
    </sheetView>
  </sheetViews>
  <sheetFormatPr baseColWidth="8" defaultRowHeight="15"/>
  <cols>
    <col width="24" customWidth="1" min="1" max="1"/>
    <col width="24" customWidth="1" min="2" max="2"/>
    <col width="30" customWidth="1" min="3" max="3"/>
    <col width="26" customWidth="1" min="4" max="4"/>
    <col width="34" customWidth="1" min="5" max="5"/>
    <col width="24" customWidth="1" min="6" max="6"/>
    <col width="12" customWidth="1" min="7" max="7"/>
    <col width="12" customWidth="1" min="8" max="8"/>
    <col width="10" customWidth="1" min="9" max="9"/>
    <col width="11" customWidth="1" min="10" max="10"/>
    <col width="19" customWidth="1" min="11" max="11"/>
    <col width="58" customWidth="1" min="12" max="12"/>
  </cols>
  <sheetData>
    <row r="1">
      <c r="A1" s="1" t="inlineStr">
        <is>
          <t>REL Finance — Contact List</t>
        </is>
      </c>
    </row>
    <row r="2">
      <c r="A2" s="2" t="inlineStr">
        <is>
          <t>Built automatically from Outlook (shyam@relfinance.co.uk) — last refreshed 2026-07-28. Refreshed weekly; do not hand-edit (see README tab).</t>
        </is>
      </c>
    </row>
    <row r="4">
      <c r="A4" s="3" t="inlineStr">
        <is>
          <t>Name</t>
        </is>
      </c>
      <c r="B4" s="3" t="inlineStr">
        <is>
          <t>Category</t>
        </is>
      </c>
      <c r="C4" s="3" t="inlineStr">
        <is>
          <t>Company</t>
        </is>
      </c>
      <c r="D4" s="3" t="inlineStr">
        <is>
          <t>Job Title</t>
        </is>
      </c>
      <c r="E4" s="3" t="inlineStr">
        <is>
          <t>Email</t>
        </is>
      </c>
      <c r="F4" s="3" t="inlineStr">
        <is>
          <t>Phone</t>
        </is>
      </c>
      <c r="G4" s="3" t="inlineStr">
        <is>
          <t>First Seen</t>
        </is>
      </c>
      <c r="H4" s="3" t="inlineStr">
        <is>
          <t>Last Seen</t>
        </is>
      </c>
      <c r="I4" s="3" t="inlineStr">
        <is>
          <t>Emails In</t>
        </is>
      </c>
      <c r="J4" s="3" t="inlineStr">
        <is>
          <t>Emails Out</t>
        </is>
      </c>
      <c r="K4" s="3" t="inlineStr">
        <is>
          <t>How Found</t>
        </is>
      </c>
      <c r="L4" s="3" t="inlineStr">
        <is>
          <t>Notes</t>
        </is>
      </c>
    </row>
    <row r="5">
      <c r="A5" s="4" t="inlineStr">
        <is>
          <t>Samuel Beaumont</t>
        </is>
      </c>
      <c r="B5" s="5" t="inlineStr">
        <is>
          <t>Broker</t>
        </is>
      </c>
      <c r="C5" s="4" t="inlineStr">
        <is>
          <t>Arc &amp; Co</t>
        </is>
      </c>
      <c r="D5" s="4" t="inlineStr"/>
      <c r="E5" s="4" t="inlineStr">
        <is>
          <t>sam@arcandco.com</t>
        </is>
      </c>
      <c r="F5" s="4" t="inlineStr"/>
      <c r="G5" s="6" t="inlineStr">
        <is>
          <t>2025-02-11</t>
        </is>
      </c>
      <c r="H5" s="6" t="inlineStr">
        <is>
          <t>2025-02-11</t>
        </is>
      </c>
      <c r="I5" s="6" t="n">
        <v>0</v>
      </c>
      <c r="J5" s="6" t="n">
        <v>0</v>
      </c>
      <c r="K5" s="7" t="inlineStr">
        <is>
          <t>Named in a thread</t>
        </is>
      </c>
      <c r="L5" s="8" t="inlineStr">
        <is>
          <t>Quoted forwarded header 'From: Samuel Beaumont &lt;sam@arcandco.com&gt;' in 'FW: North Lakes Opportunity' 11/02/2025</t>
        </is>
      </c>
    </row>
    <row r="6">
      <c r="A6" s="4" t="inlineStr">
        <is>
          <t>Tom Goldsmith</t>
        </is>
      </c>
      <c r="B6" s="5" t="inlineStr">
        <is>
          <t>Broker</t>
        </is>
      </c>
      <c r="C6" s="4" t="inlineStr">
        <is>
          <t>Arc &amp; Co</t>
        </is>
      </c>
      <c r="D6" s="4" t="inlineStr"/>
      <c r="E6" s="4" t="inlineStr">
        <is>
          <t>tom.goldsmith@arcandco.com</t>
        </is>
      </c>
      <c r="F6" s="4" t="inlineStr"/>
      <c r="G6" s="6" t="inlineStr">
        <is>
          <t>2026-04-13</t>
        </is>
      </c>
      <c r="H6" s="6" t="inlineStr">
        <is>
          <t>2026-04-14</t>
        </is>
      </c>
      <c r="I6" s="6" t="n">
        <v>0</v>
      </c>
      <c r="J6" s="6" t="n">
        <v>0</v>
      </c>
      <c r="K6" s="7" t="inlineStr">
        <is>
          <t>Named in a thread</t>
        </is>
      </c>
      <c r="L6" s="8" t="inlineStr">
        <is>
          <t>Arc &amp; Co broker on the Melton Mowbray &amp; Lowestoft bridge loan</t>
        </is>
      </c>
    </row>
    <row r="7">
      <c r="A7" s="4" t="inlineStr">
        <is>
          <t>James Gray</t>
        </is>
      </c>
      <c r="B7" s="5" t="inlineStr">
        <is>
          <t>Broker</t>
        </is>
      </c>
      <c r="C7" s="4" t="inlineStr">
        <is>
          <t>ARE Capital Advisors</t>
        </is>
      </c>
      <c r="D7" s="4" t="inlineStr">
        <is>
          <t>Managing Director</t>
        </is>
      </c>
      <c r="E7" s="4" t="inlineStr">
        <is>
          <t>james.gray@arecapitaladvisors.com</t>
        </is>
      </c>
      <c r="F7" s="4" t="inlineStr">
        <is>
          <t>+44 (0)7812 348 978</t>
        </is>
      </c>
      <c r="G7" s="6" t="inlineStr">
        <is>
          <t>2025-06-03</t>
        </is>
      </c>
      <c r="H7" s="6" t="inlineStr">
        <is>
          <t>2026-06-23</t>
        </is>
      </c>
      <c r="I7" s="6" t="n">
        <v>5</v>
      </c>
      <c r="J7" s="6" t="n">
        <v>0</v>
      </c>
      <c r="K7" s="4" t="inlineStr">
        <is>
          <t>Direct correspondence</t>
        </is>
      </c>
      <c r="L7" s="8" t="inlineStr">
        <is>
          <t>Introduced Bromley later-living and 1 Westmoreland Bromley</t>
        </is>
      </c>
    </row>
    <row r="8">
      <c r="A8" s="4" t="inlineStr">
        <is>
          <t>Amy Woodthorpe</t>
        </is>
      </c>
      <c r="B8" s="5" t="inlineStr">
        <is>
          <t>Broker</t>
        </is>
      </c>
      <c r="C8" s="4" t="inlineStr">
        <is>
          <t>Avison Young</t>
        </is>
      </c>
      <c r="D8" s="4" t="inlineStr">
        <is>
          <t>London Investment</t>
        </is>
      </c>
      <c r="E8" s="4" t="inlineStr">
        <is>
          <t>amy.woodthorpe@avisonyoung.com</t>
        </is>
      </c>
      <c r="F8" s="4" t="inlineStr">
        <is>
          <t>+44 7887801762</t>
        </is>
      </c>
      <c r="G8" s="6" t="inlineStr">
        <is>
          <t>2026-05-11</t>
        </is>
      </c>
      <c r="H8" s="6" t="inlineStr">
        <is>
          <t>2026-06-03</t>
        </is>
      </c>
      <c r="I8" s="6" t="n">
        <v>1</v>
      </c>
      <c r="J8" s="6" t="n">
        <v>0</v>
      </c>
      <c r="K8" s="4" t="inlineStr">
        <is>
          <t>Direct correspondence</t>
        </is>
      </c>
      <c r="L8" s="8" t="inlineStr">
        <is>
          <t>Avison Young debt advisory team on the regional office financing (Eagle Tower, Cheltenham)</t>
        </is>
      </c>
    </row>
    <row r="9">
      <c r="A9" s="4" t="inlineStr">
        <is>
          <t>Richard Day</t>
        </is>
      </c>
      <c r="B9" s="5" t="inlineStr">
        <is>
          <t>Broker</t>
        </is>
      </c>
      <c r="C9" s="4" t="inlineStr">
        <is>
          <t>Avison Young</t>
        </is>
      </c>
      <c r="D9" s="4" t="inlineStr">
        <is>
          <t>Head of Debt Advisory, Capital Markets</t>
        </is>
      </c>
      <c r="E9" s="4" t="inlineStr">
        <is>
          <t>richard.day@avisonyoung.com</t>
        </is>
      </c>
      <c r="F9" s="4" t="inlineStr">
        <is>
          <t>+44 (0)782 531 3653</t>
        </is>
      </c>
      <c r="G9" s="6" t="inlineStr">
        <is>
          <t>2026-05-11</t>
        </is>
      </c>
      <c r="H9" s="6" t="inlineStr">
        <is>
          <t>2026-06-03</t>
        </is>
      </c>
      <c r="I9" s="6" t="n">
        <v>1</v>
      </c>
      <c r="J9" s="6" t="n">
        <v>0</v>
      </c>
      <c r="K9" s="4" t="inlineStr">
        <is>
          <t>Direct correspondence</t>
        </is>
      </c>
      <c r="L9" s="8" t="inlineStr">
        <is>
          <t>Debt advisor who brought Eagle Tower, Cheltenham; lost on pricing</t>
        </is>
      </c>
    </row>
    <row r="10">
      <c r="A10" s="4" t="inlineStr">
        <is>
          <t>Alison Zambrano</t>
        </is>
      </c>
      <c r="B10" s="5" t="inlineStr">
        <is>
          <t>Broker</t>
        </is>
      </c>
      <c r="C10" s="4" t="inlineStr">
        <is>
          <t>BBS Capital</t>
        </is>
      </c>
      <c r="D10" s="4" t="inlineStr"/>
      <c r="E10" s="4" t="inlineStr">
        <is>
          <t>alison@bbscapital.com</t>
        </is>
      </c>
      <c r="F10" s="4" t="inlineStr"/>
      <c r="G10" s="6" t="inlineStr">
        <is>
          <t>2025-05-20</t>
        </is>
      </c>
      <c r="H10" s="6" t="inlineStr">
        <is>
          <t>2025-05-20</t>
        </is>
      </c>
      <c r="I10" s="6" t="n">
        <v>0</v>
      </c>
      <c r="J10" s="6" t="n">
        <v>0</v>
      </c>
      <c r="K10" s="7" t="inlineStr">
        <is>
          <t>Named in a thread</t>
        </is>
      </c>
      <c r="L10" s="8" t="inlineStr">
        <is>
          <t>BBS Capital side on the Kentish Town co-living funding enquiry</t>
        </is>
      </c>
    </row>
    <row r="11">
      <c r="A11" s="4" t="inlineStr">
        <is>
          <t>Joseph Clery</t>
        </is>
      </c>
      <c r="B11" s="5" t="inlineStr">
        <is>
          <t>Broker</t>
        </is>
      </c>
      <c r="C11" s="4" t="inlineStr">
        <is>
          <t>BBS Capital</t>
        </is>
      </c>
      <c r="D11" s="4" t="inlineStr"/>
      <c r="E11" s="4" t="inlineStr">
        <is>
          <t>joseph@bbscapital.com</t>
        </is>
      </c>
      <c r="F11" s="4" t="inlineStr"/>
      <c r="G11" s="6" t="inlineStr">
        <is>
          <t>2025-05-20</t>
        </is>
      </c>
      <c r="H11" s="6" t="inlineStr">
        <is>
          <t>2025-05-20</t>
        </is>
      </c>
      <c r="I11" s="6" t="n">
        <v>0</v>
      </c>
      <c r="J11" s="6" t="n">
        <v>0</v>
      </c>
      <c r="K11" s="7" t="inlineStr">
        <is>
          <t>Named in a thread</t>
        </is>
      </c>
      <c r="L11" s="8" t="inlineStr">
        <is>
          <t>BBS Capital side on the Kentish Town co-living funding enquiry</t>
        </is>
      </c>
    </row>
    <row r="12">
      <c r="A12" s="4" t="inlineStr">
        <is>
          <t>Dominic Gibson</t>
        </is>
      </c>
      <c r="B12" s="5" t="inlineStr">
        <is>
          <t>Broker</t>
        </is>
      </c>
      <c r="C12" s="4" t="inlineStr">
        <is>
          <t>Beckford Advisory</t>
        </is>
      </c>
      <c r="D12" s="4" t="inlineStr"/>
      <c r="E12" s="4" t="inlineStr">
        <is>
          <t>dominic@beckfordadvisory.com</t>
        </is>
      </c>
      <c r="F12" s="4" t="inlineStr"/>
      <c r="G12" s="6" t="inlineStr">
        <is>
          <t>2026-06-15</t>
        </is>
      </c>
      <c r="H12" s="6" t="inlineStr">
        <is>
          <t>2026-06-16</t>
        </is>
      </c>
      <c r="I12" s="6" t="n">
        <v>0</v>
      </c>
      <c r="J12" s="6" t="n">
        <v>0</v>
      </c>
      <c r="K12" s="7" t="inlineStr">
        <is>
          <t>Named in a thread</t>
        </is>
      </c>
      <c r="L12" s="8" t="inlineStr">
        <is>
          <t>Beckford colleague on the GBP 25m prime central London bridge</t>
        </is>
      </c>
    </row>
    <row r="13">
      <c r="A13" s="4" t="inlineStr">
        <is>
          <t>John Kerrigan</t>
        </is>
      </c>
      <c r="B13" s="5" t="inlineStr">
        <is>
          <t>Broker</t>
        </is>
      </c>
      <c r="C13" s="4" t="inlineStr">
        <is>
          <t>Beckford Advisory</t>
        </is>
      </c>
      <c r="D13" s="4" t="inlineStr">
        <is>
          <t>Partner</t>
        </is>
      </c>
      <c r="E13" s="4" t="inlineStr">
        <is>
          <t>john@beckfordadvisory.com</t>
        </is>
      </c>
      <c r="F13" s="4" t="inlineStr">
        <is>
          <t>+44 (0) 7508 225 678</t>
        </is>
      </c>
      <c r="G13" s="6" t="inlineStr">
        <is>
          <t>2026-06-15</t>
        </is>
      </c>
      <c r="H13" s="6" t="inlineStr">
        <is>
          <t>2026-06-16</t>
        </is>
      </c>
      <c r="I13" s="6" t="n">
        <v>6</v>
      </c>
      <c r="J13" s="6" t="n">
        <v>0</v>
      </c>
      <c r="K13" s="4" t="inlineStr">
        <is>
          <t>Direct correspondence</t>
        </is>
      </c>
      <c r="L13" s="8" t="inlineStr">
        <is>
          <t>Brought the GBP 25m prime central London bridge loan</t>
        </is>
      </c>
    </row>
    <row r="14">
      <c r="A14" s="4" t="inlineStr">
        <is>
          <t>Charlie Latimer</t>
        </is>
      </c>
      <c r="B14" s="5" t="inlineStr">
        <is>
          <t>Broker</t>
        </is>
      </c>
      <c r="C14" s="4" t="inlineStr">
        <is>
          <t>Blackbear Capital Partners LLP</t>
        </is>
      </c>
      <c r="D14" s="4" t="inlineStr"/>
      <c r="E14" s="4" t="inlineStr">
        <is>
          <t>charlie.latimer@blackbear-capital.com</t>
        </is>
      </c>
      <c r="F14" s="4" t="inlineStr">
        <is>
          <t>+44 (0)20 3750 6302, +44 (0)7716 234537</t>
        </is>
      </c>
      <c r="G14" s="6" t="inlineStr">
        <is>
          <t>2025-06-03</t>
        </is>
      </c>
      <c r="H14" s="6" t="inlineStr">
        <is>
          <t>2026-07-02</t>
        </is>
      </c>
      <c r="I14" s="6" t="n">
        <v>2</v>
      </c>
      <c r="J14" s="6" t="n">
        <v>0</v>
      </c>
      <c r="K14" s="4" t="inlineStr">
        <is>
          <t>Direct correspondence</t>
        </is>
      </c>
      <c r="L14" s="8" t="inlineStr">
        <is>
          <t>Debt advisor on 9 Eaton Place refinance and the Julius London GBP 25.5m acquisition facility (REL/OakNorth terms issued)</t>
        </is>
      </c>
    </row>
    <row r="15">
      <c r="A15" s="4" t="inlineStr">
        <is>
          <t>Heath Forusz</t>
        </is>
      </c>
      <c r="B15" s="5" t="inlineStr">
        <is>
          <t>Broker</t>
        </is>
      </c>
      <c r="C15" s="4" t="inlineStr">
        <is>
          <t>Blackbear Capital Partners LLP</t>
        </is>
      </c>
      <c r="D15" s="4" t="inlineStr"/>
      <c r="E15" s="4" t="inlineStr">
        <is>
          <t>heath.forusz@blackbear-capital.com</t>
        </is>
      </c>
      <c r="F15" s="4" t="inlineStr"/>
      <c r="G15" s="6" t="inlineStr">
        <is>
          <t>2025-06-03</t>
        </is>
      </c>
      <c r="H15" s="6" t="inlineStr">
        <is>
          <t>2026-07-02</t>
        </is>
      </c>
      <c r="I15" s="6" t="n">
        <v>0</v>
      </c>
      <c r="J15" s="6" t="n">
        <v>0</v>
      </c>
      <c r="K15" s="7" t="inlineStr">
        <is>
          <t>Named in a thread</t>
        </is>
      </c>
      <c r="L15" s="8" t="inlineStr">
        <is>
          <t>Blackbear colleague of Charlie Latimer on 9 Eaton Place and The Julius London</t>
        </is>
      </c>
    </row>
    <row r="16">
      <c r="A16" s="4" t="inlineStr">
        <is>
          <t>Richard Akka</t>
        </is>
      </c>
      <c r="B16" s="5" t="inlineStr">
        <is>
          <t>Broker</t>
        </is>
      </c>
      <c r="C16" s="4" t="inlineStr">
        <is>
          <t>C10 Finance</t>
        </is>
      </c>
      <c r="D16" s="4" t="inlineStr"/>
      <c r="E16" s="4" t="inlineStr">
        <is>
          <t>richard@c10finance.com</t>
        </is>
      </c>
      <c r="F16" s="4" t="inlineStr"/>
      <c r="G16" s="6" t="inlineStr">
        <is>
          <t>2026-03-25</t>
        </is>
      </c>
      <c r="H16" s="6" t="inlineStr">
        <is>
          <t>2026-03-27</t>
        </is>
      </c>
      <c r="I16" s="6" t="n">
        <v>0</v>
      </c>
      <c r="J16" s="6" t="n">
        <v>0</v>
      </c>
      <c r="K16" s="7" t="inlineStr">
        <is>
          <t>Named in a thread</t>
        </is>
      </c>
      <c r="L16" s="8" t="inlineStr">
        <is>
          <t>Presented the Audley House, Liverpool mezzanine development finance request</t>
        </is>
      </c>
    </row>
    <row r="17">
      <c r="A17" s="4" t="inlineStr">
        <is>
          <t>Raj Kumar</t>
        </is>
      </c>
      <c r="B17" s="5" t="inlineStr">
        <is>
          <t>Broker</t>
        </is>
      </c>
      <c r="C17" s="4" t="inlineStr">
        <is>
          <t>Carrowmore Capital</t>
        </is>
      </c>
      <c r="D17" s="4" t="inlineStr"/>
      <c r="E17" s="4" t="inlineStr">
        <is>
          <t>raj@carrowmorecapital.com</t>
        </is>
      </c>
      <c r="F17" s="4" t="inlineStr"/>
      <c r="G17" s="6" t="inlineStr">
        <is>
          <t>2026-01-28</t>
        </is>
      </c>
      <c r="H17" s="6" t="inlineStr">
        <is>
          <t>2026-01-28</t>
        </is>
      </c>
      <c r="I17" s="6" t="n">
        <v>0</v>
      </c>
      <c r="J17" s="6" t="n">
        <v>0</v>
      </c>
      <c r="K17" s="7" t="inlineStr">
        <is>
          <t>Named in a thread</t>
        </is>
      </c>
      <c r="L17" s="8" t="inlineStr">
        <is>
          <t>Brought Quayside House, Town Quay Wharf, Barking</t>
        </is>
      </c>
    </row>
    <row r="18">
      <c r="A18" s="4" t="inlineStr">
        <is>
          <t>Archi Wallace Griffin</t>
        </is>
      </c>
      <c r="B18" s="5" t="inlineStr">
        <is>
          <t>Broker</t>
        </is>
      </c>
      <c r="C18" s="4" t="inlineStr">
        <is>
          <t>Charles Irvine Group LLP</t>
        </is>
      </c>
      <c r="D18" s="4" t="inlineStr"/>
      <c r="E18" s="4" t="inlineStr">
        <is>
          <t>archi.griffin@charlesirvine.com</t>
        </is>
      </c>
      <c r="F18" s="4" t="inlineStr">
        <is>
          <t>+44 7415 931 700</t>
        </is>
      </c>
      <c r="G18" s="6" t="inlineStr">
        <is>
          <t>2025-10-07</t>
        </is>
      </c>
      <c r="H18" s="6" t="inlineStr">
        <is>
          <t>2026-04-24</t>
        </is>
      </c>
      <c r="I18" s="6" t="n">
        <v>1</v>
      </c>
      <c r="J18" s="6" t="n">
        <v>0</v>
      </c>
      <c r="K18" s="4" t="inlineStr">
        <is>
          <t>Direct correspondence</t>
        </is>
      </c>
      <c r="L18" s="8" t="inlineStr">
        <is>
          <t>Charles Irvine team on the SE industrial portfolio refinance and Croydon office refurbishment debt.</t>
        </is>
      </c>
    </row>
    <row r="19">
      <c r="A19" s="4" t="inlineStr">
        <is>
          <t>David Cunnington</t>
        </is>
      </c>
      <c r="B19" s="5" t="inlineStr">
        <is>
          <t>Broker</t>
        </is>
      </c>
      <c r="C19" s="4" t="inlineStr">
        <is>
          <t>Charles Irvine Group LLP</t>
        </is>
      </c>
      <c r="D19" s="4" t="inlineStr"/>
      <c r="E19" s="4" t="inlineStr">
        <is>
          <t>david.cunnington@charlesirvine.com</t>
        </is>
      </c>
      <c r="F19" s="4" t="inlineStr"/>
      <c r="G19" s="6" t="inlineStr">
        <is>
          <t>2025-10-07</t>
        </is>
      </c>
      <c r="H19" s="6" t="inlineStr">
        <is>
          <t>2026-04-24</t>
        </is>
      </c>
      <c r="I19" s="6" t="n">
        <v>0</v>
      </c>
      <c r="J19" s="6" t="n">
        <v>0</v>
      </c>
      <c r="K19" s="7" t="inlineStr">
        <is>
          <t>Named in a thread</t>
        </is>
      </c>
      <c r="L19" s="8" t="inlineStr">
        <is>
          <t>Charles Irvine contact on the Croydon office refurbishment debt and SE industrial portfolio refinance.</t>
        </is>
      </c>
    </row>
    <row r="20">
      <c r="A20" s="4" t="inlineStr">
        <is>
          <t>Thomas Bland</t>
        </is>
      </c>
      <c r="B20" s="5" t="inlineStr">
        <is>
          <t>Broker</t>
        </is>
      </c>
      <c r="C20" s="4" t="inlineStr">
        <is>
          <t>Charles Irvine Group LLP</t>
        </is>
      </c>
      <c r="D20" s="4" t="inlineStr">
        <is>
          <t>Partner</t>
        </is>
      </c>
      <c r="E20" s="4" t="inlineStr">
        <is>
          <t>thomas.bland@charlesirvine.com</t>
        </is>
      </c>
      <c r="F20" s="4" t="inlineStr">
        <is>
          <t>+44 7584 518 263</t>
        </is>
      </c>
      <c r="G20" s="6" t="inlineStr">
        <is>
          <t>2025-10-07</t>
        </is>
      </c>
      <c r="H20" s="6" t="inlineStr">
        <is>
          <t>2025-11-04</t>
        </is>
      </c>
      <c r="I20" s="6" t="n">
        <v>6</v>
      </c>
      <c r="J20" s="6" t="n">
        <v>0</v>
      </c>
      <c r="K20" s="4" t="inlineStr">
        <is>
          <t>Direct correspondence</t>
        </is>
      </c>
      <c r="L20" s="8" t="inlineStr">
        <is>
          <t>Debt advisor on the £32.5m Southeast UK industrial portfolio refinancing.</t>
        </is>
      </c>
    </row>
    <row r="21">
      <c r="A21" s="4" t="inlineStr">
        <is>
          <t>Arsh Basi</t>
        </is>
      </c>
      <c r="B21" s="5" t="inlineStr">
        <is>
          <t>Broker</t>
        </is>
      </c>
      <c r="C21" s="4" t="inlineStr">
        <is>
          <t>Conduit Real Estate (ConduitRE)</t>
        </is>
      </c>
      <c r="D21" s="4" t="inlineStr"/>
      <c r="E21" s="4" t="inlineStr">
        <is>
          <t>arsh@conduitre.com</t>
        </is>
      </c>
      <c r="F21" s="4" t="inlineStr"/>
      <c r="G21" s="6" t="inlineStr">
        <is>
          <t>2025-10-15</t>
        </is>
      </c>
      <c r="H21" s="6" t="inlineStr">
        <is>
          <t>2025-10-15</t>
        </is>
      </c>
      <c r="I21" s="6" t="n">
        <v>0</v>
      </c>
      <c r="J21" s="6" t="n">
        <v>0</v>
      </c>
      <c r="K21" s="7" t="inlineStr">
        <is>
          <t>Named in a thread</t>
        </is>
      </c>
      <c r="L21" s="8" t="inlineStr">
        <is>
          <t>Quoted Cc header in 'FW: Project Bradley - Audley Cooper's Hill - Inventory Loan - REL Finance' 15/10/2025 (ConduitRE mandated by Audley Group).</t>
        </is>
      </c>
    </row>
    <row r="22">
      <c r="A22" s="4" t="inlineStr">
        <is>
          <t>Balaji Nagabhushan</t>
        </is>
      </c>
      <c r="B22" s="5" t="inlineStr">
        <is>
          <t>Broker</t>
        </is>
      </c>
      <c r="C22" s="4" t="inlineStr">
        <is>
          <t>Conduit Real Estate (ConduitRE)</t>
        </is>
      </c>
      <c r="D22" s="4" t="inlineStr"/>
      <c r="E22" s="4" t="inlineStr">
        <is>
          <t>balaji@conduitre.com</t>
        </is>
      </c>
      <c r="F22" s="4" t="inlineStr">
        <is>
          <t>+44 7824 528631</t>
        </is>
      </c>
      <c r="G22" s="6" t="inlineStr">
        <is>
          <t>2025-10-15</t>
        </is>
      </c>
      <c r="H22" s="6" t="inlineStr">
        <is>
          <t>2025-10-15</t>
        </is>
      </c>
      <c r="I22" s="6" t="n">
        <v>0</v>
      </c>
      <c r="J22" s="6" t="n">
        <v>0</v>
      </c>
      <c r="K22" s="7" t="inlineStr">
        <is>
          <t>Named in a thread</t>
        </is>
      </c>
      <c r="L22" s="8" t="inlineStr">
        <is>
          <t>Forwarded header and signature in 'FW: Project Bradley - Audley Cooper's Hill - Inventory Loan - REL Finance' 15/10/2025. Body: 'Conduit Real Estate are working exclusively for Audley Group (the Sponsor)'. Address 13 Hanover Square, London W1S 1HN.</t>
        </is>
      </c>
    </row>
    <row r="23">
      <c r="A23" s="4" t="inlineStr">
        <is>
          <t>Jonathan Jay</t>
        </is>
      </c>
      <c r="B23" s="5" t="inlineStr">
        <is>
          <t>Broker</t>
        </is>
      </c>
      <c r="C23" s="4" t="inlineStr">
        <is>
          <t>Conduit Real Estate (ConduitRE)</t>
        </is>
      </c>
      <c r="D23" s="4" t="inlineStr"/>
      <c r="E23" s="4" t="inlineStr">
        <is>
          <t>jonathan@conduitre.com</t>
        </is>
      </c>
      <c r="F23" s="4" t="inlineStr"/>
      <c r="G23" s="6" t="inlineStr">
        <is>
          <t>2025-10-15</t>
        </is>
      </c>
      <c r="H23" s="6" t="inlineStr">
        <is>
          <t>2025-10-15</t>
        </is>
      </c>
      <c r="I23" s="6" t="n">
        <v>0</v>
      </c>
      <c r="J23" s="6" t="n">
        <v>0</v>
      </c>
      <c r="K23" s="7" t="inlineStr">
        <is>
          <t>Named in a thread</t>
        </is>
      </c>
      <c r="L23" s="8" t="inlineStr">
        <is>
          <t>Quoted Cc header in 'FW: Project Bradley - Audley Cooper's Hill - Inventory Loan - REL Finance' 15/10/2025 (ConduitRE mandated by Audley Group).</t>
        </is>
      </c>
    </row>
    <row r="24">
      <c r="A24" s="4" t="inlineStr">
        <is>
          <t>Garv Sud</t>
        </is>
      </c>
      <c r="B24" s="5" t="inlineStr">
        <is>
          <t>Broker</t>
        </is>
      </c>
      <c r="C24" s="4" t="inlineStr">
        <is>
          <t>Elixir London</t>
        </is>
      </c>
      <c r="D24" s="4" t="inlineStr"/>
      <c r="E24" s="4" t="inlineStr">
        <is>
          <t>garv@elixirlondon.co.uk</t>
        </is>
      </c>
      <c r="F24" s="4" t="inlineStr"/>
      <c r="G24" s="6" t="inlineStr">
        <is>
          <t>2025-04-07</t>
        </is>
      </c>
      <c r="H24" s="6" t="inlineStr">
        <is>
          <t>2025-06-03</t>
        </is>
      </c>
      <c r="I24" s="6" t="n">
        <v>0</v>
      </c>
      <c r="J24" s="6" t="n">
        <v>0</v>
      </c>
      <c r="K24" s="7" t="inlineStr">
        <is>
          <t>Named in a thread</t>
        </is>
      </c>
      <c r="L24" s="8" t="inlineStr">
        <is>
          <t>Introduced the Edridge Place loan.</t>
        </is>
      </c>
    </row>
    <row r="25">
      <c r="A25" s="4" t="inlineStr">
        <is>
          <t>Chris Whitney</t>
        </is>
      </c>
      <c r="B25" s="5" t="inlineStr">
        <is>
          <t>Broker</t>
        </is>
      </c>
      <c r="C25" s="4" t="inlineStr">
        <is>
          <t>Enness Global</t>
        </is>
      </c>
      <c r="D25" s="4" t="inlineStr"/>
      <c r="E25" s="4" t="inlineStr">
        <is>
          <t>chris@enness.co.uk</t>
        </is>
      </c>
      <c r="F25" s="4" t="inlineStr"/>
      <c r="G25" s="6" t="inlineStr">
        <is>
          <t>2026-01-30</t>
        </is>
      </c>
      <c r="H25" s="6" t="inlineStr">
        <is>
          <t>2026-02-02</t>
        </is>
      </c>
      <c r="I25" s="6" t="n">
        <v>0</v>
      </c>
      <c r="J25" s="6" t="n">
        <v>0</v>
      </c>
      <c r="K25" s="7" t="inlineStr">
        <is>
          <t>Named in a thread</t>
        </is>
      </c>
      <c r="L25" s="8" t="inlineStr">
        <is>
          <t>Debt broker; brought Project Atlantic to REL.</t>
        </is>
      </c>
    </row>
    <row r="26">
      <c r="A26" s="4" t="inlineStr">
        <is>
          <t>Robert Sadler</t>
        </is>
      </c>
      <c r="B26" s="5" t="inlineStr">
        <is>
          <t>Broker</t>
        </is>
      </c>
      <c r="C26" s="4" t="inlineStr">
        <is>
          <t>Excellion Capital</t>
        </is>
      </c>
      <c r="D26" s="4" t="inlineStr"/>
      <c r="E26" s="4" t="inlineStr">
        <is>
          <t>robert.sadler@excellioncapital.com</t>
        </is>
      </c>
      <c r="F26" s="4" t="inlineStr"/>
      <c r="G26" s="6" t="inlineStr">
        <is>
          <t>2025-04-08</t>
        </is>
      </c>
      <c r="H26" s="6" t="inlineStr">
        <is>
          <t>2025-04-08</t>
        </is>
      </c>
      <c r="I26" s="6" t="n">
        <v>0</v>
      </c>
      <c r="J26" s="6" t="n">
        <v>0</v>
      </c>
      <c r="K26" s="7" t="inlineStr">
        <is>
          <t>Named in a thread</t>
        </is>
      </c>
      <c r="L26" s="8" t="inlineStr">
        <is>
          <t>Covers two deals-sheet targets ('Robert Sandler' and 'Excellion'). Quoted forwarded header 'From: Robert Sadler &lt;Robert.sadler@excellioncapital.com&gt;' in 'FW: The Whiteley' 08/04/2025</t>
        </is>
      </c>
    </row>
    <row r="27">
      <c r="A27" s="4" t="inlineStr">
        <is>
          <t>Abilasha Ranganathappa</t>
        </is>
      </c>
      <c r="B27" s="5" t="inlineStr">
        <is>
          <t>Broker</t>
        </is>
      </c>
      <c r="C27" s="4" t="inlineStr">
        <is>
          <t>Fast Forward Capital</t>
        </is>
      </c>
      <c r="D27" s="4" t="inlineStr"/>
      <c r="E27" s="4" t="inlineStr">
        <is>
          <t>abilash@fastforwardcapital.co.uk</t>
        </is>
      </c>
      <c r="F27" s="4" t="inlineStr"/>
      <c r="G27" s="6" t="inlineStr">
        <is>
          <t>2025-10-06</t>
        </is>
      </c>
      <c r="H27" s="6" t="inlineStr">
        <is>
          <t>2025-10-07</t>
        </is>
      </c>
      <c r="I27" s="6" t="n">
        <v>0</v>
      </c>
      <c r="J27" s="6" t="n">
        <v>0</v>
      </c>
      <c r="K27" s="7" t="inlineStr">
        <is>
          <t>Named in a thread</t>
        </is>
      </c>
      <c r="L27" s="8" t="inlineStr">
        <is>
          <t>Fast Forward Capital team on the Leicester Haymarket / Humberstone Gate bridge proposal.</t>
        </is>
      </c>
    </row>
    <row r="28">
      <c r="A28" s="4" t="inlineStr">
        <is>
          <t>Imran Raja</t>
        </is>
      </c>
      <c r="B28" s="5" t="inlineStr">
        <is>
          <t>Broker</t>
        </is>
      </c>
      <c r="C28" s="4" t="inlineStr">
        <is>
          <t>First Wealth Management</t>
        </is>
      </c>
      <c r="D28" s="4" t="inlineStr">
        <is>
          <t>Commercial Finance Specialist</t>
        </is>
      </c>
      <c r="E28" s="4" t="inlineStr">
        <is>
          <t>imran@firstwml.com</t>
        </is>
      </c>
      <c r="F28" s="4" t="inlineStr">
        <is>
          <t>07900 493 468</t>
        </is>
      </c>
      <c r="G28" s="6" t="inlineStr">
        <is>
          <t>2025-10-07</t>
        </is>
      </c>
      <c r="H28" s="6" t="inlineStr">
        <is>
          <t>2025-10-07</t>
        </is>
      </c>
      <c r="I28" s="6" t="n">
        <v>1</v>
      </c>
      <c r="J28" s="6" t="n">
        <v>0</v>
      </c>
      <c r="K28" s="4" t="inlineStr">
        <is>
          <t>Direct correspondence</t>
        </is>
      </c>
      <c r="L28" s="8" t="inlineStr">
        <is>
          <t>First Wealth Management colleague of Jay Bhogal; Kettering enquiry.</t>
        </is>
      </c>
    </row>
    <row r="29">
      <c r="A29" s="4" t="inlineStr">
        <is>
          <t>Jay Bhogal</t>
        </is>
      </c>
      <c r="B29" s="5" t="inlineStr">
        <is>
          <t>Broker</t>
        </is>
      </c>
      <c r="C29" s="4" t="inlineStr">
        <is>
          <t>First Wealth Management</t>
        </is>
      </c>
      <c r="D29" s="4" t="inlineStr">
        <is>
          <t>Real Estate Funding Specialist</t>
        </is>
      </c>
      <c r="E29" s="4" t="inlineStr">
        <is>
          <t>jay@firstwml.com</t>
        </is>
      </c>
      <c r="F29" s="4" t="inlineStr">
        <is>
          <t>07912 262 511, 0207 486 0405</t>
        </is>
      </c>
      <c r="G29" s="6" t="inlineStr">
        <is>
          <t>2025-06-03</t>
        </is>
      </c>
      <c r="H29" s="6" t="inlineStr">
        <is>
          <t>2026-07-23</t>
        </is>
      </c>
      <c r="I29" s="6" t="n">
        <v>2</v>
      </c>
      <c r="J29" s="6" t="n">
        <v>0</v>
      </c>
      <c r="K29" s="4" t="inlineStr">
        <is>
          <t>Direct correspondence</t>
        </is>
      </c>
      <c r="L29" s="8" t="inlineStr">
        <is>
          <t>Regular introducer - Sheffield City Centre bridge, 1 Farringdon Street, One Croydon and a 3-asset hotel refinance.</t>
        </is>
      </c>
    </row>
    <row r="30">
      <c r="A30" s="4" t="inlineStr">
        <is>
          <t>Tom Goldsmith</t>
        </is>
      </c>
      <c r="B30" s="5" t="inlineStr">
        <is>
          <t>Broker</t>
        </is>
      </c>
      <c r="C30" s="4" t="inlineStr">
        <is>
          <t>FRP Advisory</t>
        </is>
      </c>
      <c r="D30" s="4" t="inlineStr"/>
      <c r="E30" s="4" t="inlineStr">
        <is>
          <t>tom.goldsmith@frpadvisory.com</t>
        </is>
      </c>
      <c r="F30" s="4" t="inlineStr"/>
      <c r="G30" s="6" t="inlineStr">
        <is>
          <t>2026-06-19</t>
        </is>
      </c>
      <c r="H30" s="6" t="inlineStr">
        <is>
          <t>2026-06-19</t>
        </is>
      </c>
      <c r="I30" s="6" t="n">
        <v>0</v>
      </c>
      <c r="J30" s="6" t="n">
        <v>0</v>
      </c>
      <c r="K30" s="7" t="inlineStr">
        <is>
          <t>Named in a thread</t>
        </is>
      </c>
      <c r="L30" s="8" t="inlineStr">
        <is>
          <t>FRP debt advisory - introduced the Chivenor Park, Barnstaple holiday park bridge enquiry (declined, too small).</t>
        </is>
      </c>
    </row>
    <row r="31">
      <c r="A31" s="4" t="inlineStr">
        <is>
          <t>Tom Savill</t>
        </is>
      </c>
      <c r="B31" s="5" t="inlineStr">
        <is>
          <t>Broker</t>
        </is>
      </c>
      <c r="C31" s="4" t="inlineStr">
        <is>
          <t>FRP Advisory</t>
        </is>
      </c>
      <c r="D31" s="4" t="inlineStr"/>
      <c r="E31" s="4" t="inlineStr">
        <is>
          <t>tom.savill@frpadvisory.com</t>
        </is>
      </c>
      <c r="F31" s="4" t="inlineStr"/>
      <c r="G31" s="6" t="inlineStr">
        <is>
          <t>2026-07-24</t>
        </is>
      </c>
      <c r="H31" s="6" t="inlineStr">
        <is>
          <t>2026-07-24</t>
        </is>
      </c>
      <c r="I31" s="6" t="n">
        <v>0</v>
      </c>
      <c r="J31" s="6" t="n">
        <v>0</v>
      </c>
      <c r="K31" s="7" t="inlineStr">
        <is>
          <t>Named in a thread</t>
        </is>
      </c>
      <c r="L31" s="8" t="inlineStr">
        <is>
          <t>FRP debt advisory - introduced The Store Room, Solihull bridge enquiry (£10.2m indicative terms issued).</t>
        </is>
      </c>
    </row>
    <row r="32">
      <c r="A32" s="4" t="inlineStr">
        <is>
          <t>Emma Solazzo</t>
        </is>
      </c>
      <c r="B32" s="5" t="inlineStr">
        <is>
          <t>Broker</t>
        </is>
      </c>
      <c r="C32" s="4" t="inlineStr">
        <is>
          <t>GLPG</t>
        </is>
      </c>
      <c r="D32" s="4" t="inlineStr">
        <is>
          <t>Capital Advisory</t>
        </is>
      </c>
      <c r="E32" s="4" t="inlineStr">
        <is>
          <t>emma.solazzo@glpg.co.uk</t>
        </is>
      </c>
      <c r="F32" s="4" t="inlineStr"/>
      <c r="G32" s="6" t="inlineStr">
        <is>
          <t>2026-07-01</t>
        </is>
      </c>
      <c r="H32" s="6" t="inlineStr">
        <is>
          <t>2026-07-23</t>
        </is>
      </c>
      <c r="I32" s="6" t="n">
        <v>1</v>
      </c>
      <c r="J32" s="6" t="n">
        <v>0</v>
      </c>
      <c r="K32" s="4" t="inlineStr">
        <is>
          <t>Direct correspondence</t>
        </is>
      </c>
      <c r="L32" s="8" t="inlineStr">
        <is>
          <t>Works with Nick Swerner in GLPG Capital Advisory; negotiated the OakNorth/REL Dulwich terms.</t>
        </is>
      </c>
    </row>
    <row r="33">
      <c r="A33" s="4" t="inlineStr">
        <is>
          <t>GLPG Capital Advisory</t>
        </is>
      </c>
      <c r="B33" s="5" t="inlineStr">
        <is>
          <t>Broker</t>
        </is>
      </c>
      <c r="C33" s="4" t="inlineStr">
        <is>
          <t>GLPG</t>
        </is>
      </c>
      <c r="D33" s="4" t="inlineStr"/>
      <c r="E33" s="4" t="inlineStr">
        <is>
          <t>capital@glpg.co.uk</t>
        </is>
      </c>
      <c r="F33" s="4" t="inlineStr"/>
      <c r="G33" s="6" t="inlineStr">
        <is>
          <t>2026-07-09</t>
        </is>
      </c>
      <c r="H33" s="6" t="inlineStr">
        <is>
          <t>2026-07-09</t>
        </is>
      </c>
      <c r="I33" s="6" t="n">
        <v>0</v>
      </c>
      <c r="J33" s="6" t="n">
        <v>0</v>
      </c>
      <c r="K33" s="7" t="inlineStr">
        <is>
          <t>Named in a thread</t>
        </is>
      </c>
      <c r="L33" s="8" t="inlineStr">
        <is>
          <t>GLPG Capital Advisory shared team mailbox.</t>
        </is>
      </c>
    </row>
    <row r="34">
      <c r="A34" s="4" t="inlineStr">
        <is>
          <t>Johnny Grassick</t>
        </is>
      </c>
      <c r="B34" s="5" t="inlineStr">
        <is>
          <t>Broker</t>
        </is>
      </c>
      <c r="C34" s="4" t="inlineStr">
        <is>
          <t>GLPG</t>
        </is>
      </c>
      <c r="D34" s="4" t="inlineStr"/>
      <c r="E34" s="4" t="inlineStr">
        <is>
          <t>johnny.grassick@glpg.co.uk</t>
        </is>
      </c>
      <c r="F34" s="4" t="inlineStr"/>
      <c r="G34" s="6" t="inlineStr">
        <is>
          <t>2026-07-16</t>
        </is>
      </c>
      <c r="H34" s="6" t="inlineStr">
        <is>
          <t>2026-07-23</t>
        </is>
      </c>
      <c r="I34" s="6" t="n">
        <v>0</v>
      </c>
      <c r="J34" s="6" t="n">
        <v>0</v>
      </c>
      <c r="K34" s="7" t="inlineStr">
        <is>
          <t>Named in a thread</t>
        </is>
      </c>
      <c r="L34" s="8" t="inlineStr">
        <is>
          <t>GLPG capital advisory contact on the Cresswick Dulwich financing.</t>
        </is>
      </c>
    </row>
    <row r="35">
      <c r="A35" s="4" t="inlineStr">
        <is>
          <t>Nick Swerner</t>
        </is>
      </c>
      <c r="B35" s="5" t="inlineStr">
        <is>
          <t>Broker</t>
        </is>
      </c>
      <c r="C35" s="4" t="inlineStr">
        <is>
          <t>GLPG</t>
        </is>
      </c>
      <c r="D35" s="4" t="inlineStr">
        <is>
          <t>Director</t>
        </is>
      </c>
      <c r="E35" s="4" t="inlineStr">
        <is>
          <t>nick.swerner@glpg.co.uk</t>
        </is>
      </c>
      <c r="F35" s="4" t="inlineStr">
        <is>
          <t>0203 089 0695, 07966 487 790</t>
        </is>
      </c>
      <c r="G35" s="6" t="inlineStr">
        <is>
          <t>2026-06-24</t>
        </is>
      </c>
      <c r="H35" s="6" t="inlineStr">
        <is>
          <t>2026-07-23</t>
        </is>
      </c>
      <c r="I35" s="6" t="n">
        <v>4</v>
      </c>
      <c r="J35" s="6" t="n">
        <v>0</v>
      </c>
      <c r="K35" s="4" t="inlineStr">
        <is>
          <t>Direct correspondence</t>
        </is>
      </c>
      <c r="L35" s="8" t="inlineStr">
        <is>
          <t>Debt advisor on the Cresswick Dulwich deal with OakNorth, and on Housing First Group.</t>
        </is>
      </c>
    </row>
    <row r="36">
      <c r="A36" s="4" t="inlineStr">
        <is>
          <t>Nick Jones</t>
        </is>
      </c>
      <c r="B36" s="5" t="inlineStr">
        <is>
          <t>Broker</t>
        </is>
      </c>
      <c r="C36" s="4" t="inlineStr">
        <is>
          <t>GSB Global</t>
        </is>
      </c>
      <c r="D36" s="4" t="inlineStr"/>
      <c r="E36" s="4" t="inlineStr">
        <is>
          <t>nick.jones@gsbglobal.com</t>
        </is>
      </c>
      <c r="F36" s="4" t="inlineStr"/>
      <c r="G36" s="6" t="inlineStr">
        <is>
          <t>2025-06-03</t>
        </is>
      </c>
      <c r="H36" s="6" t="inlineStr">
        <is>
          <t>2025-06-03</t>
        </is>
      </c>
      <c r="I36" s="6" t="n">
        <v>0</v>
      </c>
      <c r="J36" s="6" t="n">
        <v>0</v>
      </c>
      <c r="K36" s="7" t="inlineStr">
        <is>
          <t>Named in a thread</t>
        </is>
      </c>
      <c r="L36" s="8" t="inlineStr">
        <is>
          <t>Origin of a GSB bridging enquiry forwarded to REL</t>
        </is>
      </c>
    </row>
    <row r="37">
      <c r="A37" s="4" t="inlineStr">
        <is>
          <t>James Daniels</t>
        </is>
      </c>
      <c r="B37" s="5" t="inlineStr">
        <is>
          <t>Broker</t>
        </is>
      </c>
      <c r="C37" s="4" t="inlineStr">
        <is>
          <t>Hallcroft Finance</t>
        </is>
      </c>
      <c r="D37" s="4" t="inlineStr"/>
      <c r="E37" s="4" t="inlineStr">
        <is>
          <t>james@hallcroftfinance.co.uk</t>
        </is>
      </c>
      <c r="F37" s="4" t="inlineStr"/>
      <c r="G37" s="6" t="inlineStr">
        <is>
          <t>2025-07-23</t>
        </is>
      </c>
      <c r="H37" s="6" t="inlineStr">
        <is>
          <t>2025-07-23</t>
        </is>
      </c>
      <c r="I37" s="6" t="n">
        <v>0</v>
      </c>
      <c r="J37" s="6" t="n">
        <v>0</v>
      </c>
      <c r="K37" s="7" t="inlineStr">
        <is>
          <t>Named in a thread</t>
        </is>
      </c>
      <c r="L37" s="8" t="inlineStr">
        <is>
          <t>Presented a developer exit on The Courtyard, West Street, Farnham</t>
        </is>
      </c>
    </row>
    <row r="38">
      <c r="A38" s="4" t="inlineStr">
        <is>
          <t>Imad Fathallah</t>
        </is>
      </c>
      <c r="B38" s="5" t="inlineStr">
        <is>
          <t>Broker</t>
        </is>
      </c>
      <c r="C38" s="4" t="inlineStr">
        <is>
          <t>IMF Finance</t>
        </is>
      </c>
      <c r="D38" s="4" t="inlineStr"/>
      <c r="E38" s="4" t="inlineStr">
        <is>
          <t>imad@imffinance.com</t>
        </is>
      </c>
      <c r="F38" s="4" t="inlineStr">
        <is>
          <t>+44 7798 530234</t>
        </is>
      </c>
      <c r="G38" s="6" t="inlineStr">
        <is>
          <t>2026-02-11</t>
        </is>
      </c>
      <c r="H38" s="6" t="inlineStr">
        <is>
          <t>2026-02-17</t>
        </is>
      </c>
      <c r="I38" s="6" t="n">
        <v>1</v>
      </c>
      <c r="J38" s="6" t="n">
        <v>0</v>
      </c>
      <c r="K38" s="4" t="inlineStr">
        <is>
          <t>Direct correspondence</t>
        </is>
      </c>
      <c r="L38" s="8" t="inlineStr">
        <is>
          <t>Circulated a loan request secured on ultra-prime collateral</t>
        </is>
      </c>
    </row>
    <row r="39">
      <c r="A39" s="4" t="inlineStr">
        <is>
          <t>Lee Neenan</t>
        </is>
      </c>
      <c r="B39" s="5" t="inlineStr">
        <is>
          <t>Broker</t>
        </is>
      </c>
      <c r="C39" s="4" t="inlineStr">
        <is>
          <t>Irwell Property Finance</t>
        </is>
      </c>
      <c r="D39" s="4" t="inlineStr"/>
      <c r="E39" s="4" t="inlineStr">
        <is>
          <t>lee@irwellpropertyfinance.co.uk</t>
        </is>
      </c>
      <c r="F39" s="4" t="inlineStr">
        <is>
          <t>07854 455559, 0161 537 7099</t>
        </is>
      </c>
      <c r="G39" s="6" t="inlineStr">
        <is>
          <t>2026-07-14</t>
        </is>
      </c>
      <c r="H39" s="6" t="inlineStr">
        <is>
          <t>2026-07-21</t>
        </is>
      </c>
      <c r="I39" s="6" t="n">
        <v>5</v>
      </c>
      <c r="J39" s="6" t="n">
        <v>0</v>
      </c>
      <c r="K39" s="4" t="inlineStr">
        <is>
          <t>Direct correspondence</t>
        </is>
      </c>
      <c r="L39" s="8" t="inlineStr">
        <is>
          <t>Manchester-based introducer; brought Rutland Gate and new enquiries, charges a 1% broker fee</t>
        </is>
      </c>
    </row>
    <row r="40">
      <c r="A40" s="4" t="inlineStr">
        <is>
          <t>Adrian Dowdle</t>
        </is>
      </c>
      <c r="B40" s="5" t="inlineStr">
        <is>
          <t>Broker</t>
        </is>
      </c>
      <c r="C40" s="4" t="inlineStr">
        <is>
          <t>Karis Capital</t>
        </is>
      </c>
      <c r="D40" s="4" t="inlineStr"/>
      <c r="E40" s="4" t="inlineStr">
        <is>
          <t>adrian.dowdle@kariscapital.co.uk</t>
        </is>
      </c>
      <c r="F40" s="4" t="inlineStr"/>
      <c r="G40" s="6" t="inlineStr">
        <is>
          <t>2025-06-03</t>
        </is>
      </c>
      <c r="H40" s="6" t="inlineStr">
        <is>
          <t>2025-06-03</t>
        </is>
      </c>
      <c r="I40" s="6" t="n">
        <v>0</v>
      </c>
      <c r="J40" s="6" t="n">
        <v>0</v>
      </c>
      <c r="K40" s="7" t="inlineStr">
        <is>
          <t>Named in a thread</t>
        </is>
      </c>
      <c r="L40" s="8" t="inlineStr">
        <is>
          <t>Karis Capital contact on the Milton Keynes enquiry</t>
        </is>
      </c>
    </row>
    <row r="41">
      <c r="A41" s="4" t="inlineStr">
        <is>
          <t>Nicholas Christofi</t>
        </is>
      </c>
      <c r="B41" s="5" t="inlineStr">
        <is>
          <t>Broker</t>
        </is>
      </c>
      <c r="C41" s="4" t="inlineStr">
        <is>
          <t>Karis Capital</t>
        </is>
      </c>
      <c r="D41" s="4" t="inlineStr"/>
      <c r="E41" s="4" t="inlineStr">
        <is>
          <t>nicholas.christofi@kariscapital.co.uk</t>
        </is>
      </c>
      <c r="F41" s="4" t="inlineStr"/>
      <c r="G41" s="6" t="inlineStr">
        <is>
          <t>2025-06-03</t>
        </is>
      </c>
      <c r="H41" s="6" t="inlineStr">
        <is>
          <t>2025-06-03</t>
        </is>
      </c>
      <c r="I41" s="6" t="n">
        <v>0</v>
      </c>
      <c r="J41" s="6" t="n">
        <v>0</v>
      </c>
      <c r="K41" s="7" t="inlineStr">
        <is>
          <t>Named in a thread</t>
        </is>
      </c>
      <c r="L41" s="8" t="inlineStr">
        <is>
          <t>Karis Capital contact on the Milton Keynes enquiry</t>
        </is>
      </c>
    </row>
    <row r="42">
      <c r="A42" s="4" t="inlineStr">
        <is>
          <t>Nirav Patel</t>
        </is>
      </c>
      <c r="B42" s="5" t="inlineStr">
        <is>
          <t>Broker</t>
        </is>
      </c>
      <c r="C42" s="4" t="inlineStr">
        <is>
          <t>Mantra Commercial</t>
        </is>
      </c>
      <c r="D42" s="4" t="inlineStr"/>
      <c r="E42" s="4" t="inlineStr">
        <is>
          <t>nirav@mantracommercial.com</t>
        </is>
      </c>
      <c r="F42" s="4" t="inlineStr"/>
      <c r="G42" s="6" t="inlineStr">
        <is>
          <t>2025-05-13</t>
        </is>
      </c>
      <c r="H42" s="6" t="inlineStr">
        <is>
          <t>2025-06-03</t>
        </is>
      </c>
      <c r="I42" s="6" t="n">
        <v>0</v>
      </c>
      <c r="J42" s="6" t="n">
        <v>0</v>
      </c>
      <c r="K42" s="7" t="inlineStr">
        <is>
          <t>Named in a thread</t>
        </is>
      </c>
      <c r="L42" s="8" t="inlineStr">
        <is>
          <t>Introduced 77 and 87-89 Walton Street GBP 9m request and The Stroud Hotel</t>
        </is>
      </c>
    </row>
    <row r="43">
      <c r="A43" s="4" t="inlineStr">
        <is>
          <t>Rickesh Patel</t>
        </is>
      </c>
      <c r="B43" s="5" t="inlineStr">
        <is>
          <t>Broker</t>
        </is>
      </c>
      <c r="C43" s="4" t="inlineStr">
        <is>
          <t>Mantra Commercial</t>
        </is>
      </c>
      <c r="D43" s="4" t="inlineStr"/>
      <c r="E43" s="4" t="inlineStr">
        <is>
          <t>rickesh@mantracommercial.com</t>
        </is>
      </c>
      <c r="F43" s="4" t="inlineStr"/>
      <c r="G43" s="6" t="inlineStr">
        <is>
          <t>2025-05-13</t>
        </is>
      </c>
      <c r="H43" s="6" t="inlineStr">
        <is>
          <t>2026-02-24</t>
        </is>
      </c>
      <c r="I43" s="6" t="n">
        <v>0</v>
      </c>
      <c r="J43" s="6" t="n">
        <v>0</v>
      </c>
      <c r="K43" s="7" t="inlineStr">
        <is>
          <t>Named in a thread</t>
        </is>
      </c>
      <c r="L43" s="8" t="inlineStr">
        <is>
          <t>Main Mantra contact - Kamco GBP 22.5m, Walton Street GBP 9m, The Stroud Hotel</t>
        </is>
      </c>
    </row>
    <row r="44">
      <c r="A44" s="4" t="inlineStr">
        <is>
          <t>Zahra</t>
        </is>
      </c>
      <c r="B44" s="5" t="inlineStr">
        <is>
          <t>Broker</t>
        </is>
      </c>
      <c r="C44" s="4" t="inlineStr">
        <is>
          <t>Mantra Commercial</t>
        </is>
      </c>
      <c r="D44" s="4" t="inlineStr"/>
      <c r="E44" s="4" t="inlineStr">
        <is>
          <t>zahra@mantracommercial.com</t>
        </is>
      </c>
      <c r="F44" s="4" t="inlineStr"/>
      <c r="G44" s="6" t="inlineStr">
        <is>
          <t>2026-02-04</t>
        </is>
      </c>
      <c r="H44" s="6" t="inlineStr">
        <is>
          <t>2026-02-24</t>
        </is>
      </c>
      <c r="I44" s="6" t="n">
        <v>0</v>
      </c>
      <c r="J44" s="6" t="n">
        <v>0</v>
      </c>
      <c r="K44" s="7" t="inlineStr">
        <is>
          <t>Named in a thread</t>
        </is>
      </c>
      <c r="L44" s="8" t="inlineStr">
        <is>
          <t>On the Elixir House GBP 5m commercial bridging facility</t>
        </is>
      </c>
    </row>
    <row r="45">
      <c r="A45" s="4" t="inlineStr">
        <is>
          <t>Nimesh Sanghrajka</t>
        </is>
      </c>
      <c r="B45" s="5" t="inlineStr">
        <is>
          <t>Broker</t>
        </is>
      </c>
      <c r="C45" s="4" t="inlineStr">
        <is>
          <t>Mantra Group</t>
        </is>
      </c>
      <c r="D45" s="4" t="inlineStr"/>
      <c r="E45" s="4" t="inlineStr">
        <is>
          <t>nimesh@mantra-group.com</t>
        </is>
      </c>
      <c r="F45" s="4" t="inlineStr"/>
      <c r="G45" s="6" t="inlineStr">
        <is>
          <t>2025-06-03</t>
        </is>
      </c>
      <c r="H45" s="6" t="inlineStr">
        <is>
          <t>2025-06-03</t>
        </is>
      </c>
      <c r="I45" s="6" t="n">
        <v>0</v>
      </c>
      <c r="J45" s="6" t="n">
        <v>0</v>
      </c>
      <c r="K45" s="7" t="inlineStr">
        <is>
          <t>Named in a thread</t>
        </is>
      </c>
      <c r="L45" s="8" t="inlineStr">
        <is>
          <t>Mantra debt brokerage; on the Kamco GBP 22.5m enquiry</t>
        </is>
      </c>
    </row>
    <row r="46">
      <c r="A46" s="4" t="inlineStr">
        <is>
          <t>Lindsay Baker</t>
        </is>
      </c>
      <c r="B46" s="5" t="inlineStr">
        <is>
          <t>Broker</t>
        </is>
      </c>
      <c r="C46" s="4" t="inlineStr">
        <is>
          <t>Melbray London</t>
        </is>
      </c>
      <c r="D46" s="4" t="inlineStr"/>
      <c r="E46" s="4" t="inlineStr">
        <is>
          <t>lindsay@melbraylondon.com</t>
        </is>
      </c>
      <c r="F46" s="4" t="inlineStr">
        <is>
          <t>+44 7557 749580</t>
        </is>
      </c>
      <c r="G46" s="6" t="inlineStr">
        <is>
          <t>2026-03-11</t>
        </is>
      </c>
      <c r="H46" s="6" t="inlineStr">
        <is>
          <t>2026-03-13</t>
        </is>
      </c>
      <c r="I46" s="6" t="n">
        <v>0</v>
      </c>
      <c r="J46" s="6" t="n">
        <v>0</v>
      </c>
      <c r="K46" s="7" t="inlineStr">
        <is>
          <t>Named in a thread</t>
        </is>
      </c>
      <c r="L46" s="8" t="inlineStr">
        <is>
          <t>Finance brokerage; on the Indigo Scott Hammersmith development thread</t>
        </is>
      </c>
    </row>
    <row r="47">
      <c r="A47" s="4" t="inlineStr">
        <is>
          <t>Max Warren</t>
        </is>
      </c>
      <c r="B47" s="5" t="inlineStr">
        <is>
          <t>Broker</t>
        </is>
      </c>
      <c r="C47" s="4" t="inlineStr">
        <is>
          <t>Melbray London</t>
        </is>
      </c>
      <c r="D47" s="4" t="inlineStr"/>
      <c r="E47" s="4" t="inlineStr">
        <is>
          <t>max@melbraylondon.com</t>
        </is>
      </c>
      <c r="F47" s="4" t="inlineStr"/>
      <c r="G47" s="6" t="inlineStr">
        <is>
          <t>2026-03-11</t>
        </is>
      </c>
      <c r="H47" s="6" t="inlineStr">
        <is>
          <t>2026-06-26</t>
        </is>
      </c>
      <c r="I47" s="6" t="n">
        <v>0</v>
      </c>
      <c r="J47" s="6" t="n">
        <v>0</v>
      </c>
      <c r="K47" s="7" t="inlineStr">
        <is>
          <t>Named in a thread</t>
        </is>
      </c>
      <c r="L47" s="8" t="inlineStr">
        <is>
          <t>Founder of Melbray; brokering the Indigo Scott Hammersmith development</t>
        </is>
      </c>
    </row>
    <row r="48">
      <c r="A48" s="4" t="inlineStr">
        <is>
          <t>Simon Warren</t>
        </is>
      </c>
      <c r="B48" s="5" t="inlineStr">
        <is>
          <t>Broker</t>
        </is>
      </c>
      <c r="C48" s="4" t="inlineStr">
        <is>
          <t>Melbray London</t>
        </is>
      </c>
      <c r="D48" s="4" t="inlineStr"/>
      <c r="E48" s="4" t="inlineStr">
        <is>
          <t>simon@melbraylondon.com</t>
        </is>
      </c>
      <c r="F48" s="4" t="inlineStr"/>
      <c r="G48" s="6" t="inlineStr">
        <is>
          <t>2026-03-11</t>
        </is>
      </c>
      <c r="H48" s="6" t="inlineStr">
        <is>
          <t>2026-06-26</t>
        </is>
      </c>
      <c r="I48" s="6" t="n">
        <v>0</v>
      </c>
      <c r="J48" s="6" t="n">
        <v>0</v>
      </c>
      <c r="K48" s="7" t="inlineStr">
        <is>
          <t>Named in a thread</t>
        </is>
      </c>
      <c r="L48" s="8" t="inlineStr">
        <is>
          <t>On the Indigo Scott Hammersmith development enquiry</t>
        </is>
      </c>
    </row>
    <row r="49">
      <c r="A49" s="4" t="inlineStr">
        <is>
          <t>George Melling</t>
        </is>
      </c>
      <c r="B49" s="5" t="inlineStr">
        <is>
          <t>Broker</t>
        </is>
      </c>
      <c r="C49" s="4" t="inlineStr">
        <is>
          <t>Merry Oaks</t>
        </is>
      </c>
      <c r="D49" s="4" t="inlineStr"/>
      <c r="E49" s="4" t="inlineStr">
        <is>
          <t>george@merryoaks.com</t>
        </is>
      </c>
      <c r="F49" s="4" t="inlineStr"/>
      <c r="G49" s="6" t="inlineStr">
        <is>
          <t>2025-03-22</t>
        </is>
      </c>
      <c r="H49" s="6" t="inlineStr">
        <is>
          <t>2025-06-03</t>
        </is>
      </c>
      <c r="I49" s="6" t="n">
        <v>0</v>
      </c>
      <c r="J49" s="6" t="n">
        <v>0</v>
      </c>
      <c r="K49" s="7" t="inlineStr">
        <is>
          <t>Named in a thread</t>
        </is>
      </c>
      <c r="L49" s="8" t="inlineStr">
        <is>
          <t>Introduced High Trees, Bishops Avenue and other Camden assets</t>
        </is>
      </c>
    </row>
    <row r="50">
      <c r="A50" s="4" t="inlineStr">
        <is>
          <t>Saam Lowni</t>
        </is>
      </c>
      <c r="B50" s="5" t="inlineStr">
        <is>
          <t>Broker</t>
        </is>
      </c>
      <c r="C50" s="4" t="inlineStr">
        <is>
          <t>Merry Oaks</t>
        </is>
      </c>
      <c r="D50" s="4" t="inlineStr"/>
      <c r="E50" s="4" t="inlineStr">
        <is>
          <t>saam@merryoaks.com</t>
        </is>
      </c>
      <c r="F50" s="4" t="inlineStr">
        <is>
          <t>+44 (0) 203 797 7559, +44 (0) 749 536 2211</t>
        </is>
      </c>
      <c r="G50" s="6" t="inlineStr">
        <is>
          <t>2025-03-22</t>
        </is>
      </c>
      <c r="H50" s="6" t="inlineStr">
        <is>
          <t>2025-06-03</t>
        </is>
      </c>
      <c r="I50" s="6" t="n">
        <v>0</v>
      </c>
      <c r="J50" s="6" t="n">
        <v>0</v>
      </c>
      <c r="K50" s="7" t="inlineStr">
        <is>
          <t>Named in a thread</t>
        </is>
      </c>
      <c r="L50" s="8" t="inlineStr">
        <is>
          <t>Introduced High Trees, Bishops Avenue and other Camden assets</t>
        </is>
      </c>
    </row>
    <row r="51">
      <c r="A51" s="4" t="inlineStr">
        <is>
          <t>Keryn Thompsett</t>
        </is>
      </c>
      <c r="B51" s="5" t="inlineStr">
        <is>
          <t>Broker</t>
        </is>
      </c>
      <c r="C51" s="4" t="inlineStr">
        <is>
          <t>Moorhall Capital</t>
        </is>
      </c>
      <c r="D51" s="4" t="inlineStr"/>
      <c r="E51" s="4" t="inlineStr">
        <is>
          <t>keryn@moorhallcapital.com</t>
        </is>
      </c>
      <c r="F51" s="4" t="inlineStr"/>
      <c r="G51" s="6" t="inlineStr">
        <is>
          <t>2025-06-03</t>
        </is>
      </c>
      <c r="H51" s="6" t="inlineStr">
        <is>
          <t>2025-06-03</t>
        </is>
      </c>
      <c r="I51" s="6" t="n">
        <v>0</v>
      </c>
      <c r="J51" s="6" t="n">
        <v>0</v>
      </c>
      <c r="K51" s="7" t="inlineStr">
        <is>
          <t>Named in a thread</t>
        </is>
      </c>
      <c r="L51" s="8" t="inlineStr">
        <is>
          <t>Real estate capital advisory; annual drinks invitation</t>
        </is>
      </c>
    </row>
    <row r="52">
      <c r="A52" s="4" t="inlineStr">
        <is>
          <t>Robert Jones</t>
        </is>
      </c>
      <c r="B52" s="5" t="inlineStr">
        <is>
          <t>Broker</t>
        </is>
      </c>
      <c r="C52" s="4" t="inlineStr">
        <is>
          <t>Moorhall Capital</t>
        </is>
      </c>
      <c r="D52" s="4" t="inlineStr"/>
      <c r="E52" s="4" t="inlineStr">
        <is>
          <t>rob@moorhallcapital.com</t>
        </is>
      </c>
      <c r="F52" s="4" t="inlineStr"/>
      <c r="G52" s="6" t="inlineStr">
        <is>
          <t>2025-06-03</t>
        </is>
      </c>
      <c r="H52" s="6" t="inlineStr">
        <is>
          <t>2025-06-03</t>
        </is>
      </c>
      <c r="I52" s="6" t="n">
        <v>0</v>
      </c>
      <c r="J52" s="6" t="n">
        <v>0</v>
      </c>
      <c r="K52" s="7" t="inlineStr">
        <is>
          <t>Named in a thread</t>
        </is>
      </c>
      <c r="L52" s="8" t="inlineStr">
        <is>
          <t>Founder of Moorhall Capital, real estate debt advisory</t>
        </is>
      </c>
    </row>
    <row r="53">
      <c r="A53" s="4" t="inlineStr">
        <is>
          <t>Tom Boize</t>
        </is>
      </c>
      <c r="B53" s="5" t="inlineStr">
        <is>
          <t>Broker</t>
        </is>
      </c>
      <c r="C53" s="4" t="inlineStr">
        <is>
          <t>Moorhall Capital</t>
        </is>
      </c>
      <c r="D53" s="4" t="inlineStr"/>
      <c r="E53" s="4" t="inlineStr">
        <is>
          <t>tom@moorhallcapital.com</t>
        </is>
      </c>
      <c r="F53" s="4" t="inlineStr"/>
      <c r="G53" s="6" t="inlineStr">
        <is>
          <t>2025-06-03</t>
        </is>
      </c>
      <c r="H53" s="6" t="inlineStr">
        <is>
          <t>2025-06-03</t>
        </is>
      </c>
      <c r="I53" s="6" t="n">
        <v>0</v>
      </c>
      <c r="J53" s="6" t="n">
        <v>0</v>
      </c>
      <c r="K53" s="7" t="inlineStr">
        <is>
          <t>Named in a thread</t>
        </is>
      </c>
      <c r="L53" s="8" t="inlineStr">
        <is>
          <t>Real estate capital advisory contact at Moorhall</t>
        </is>
      </c>
    </row>
    <row r="54">
      <c r="A54" s="4" t="inlineStr">
        <is>
          <t>Raed Hanna</t>
        </is>
      </c>
      <c r="B54" s="5" t="inlineStr">
        <is>
          <t>Broker</t>
        </is>
      </c>
      <c r="C54" s="4" t="inlineStr">
        <is>
          <t>Mutual Finance</t>
        </is>
      </c>
      <c r="D54" s="4" t="inlineStr"/>
      <c r="E54" s="4" t="inlineStr">
        <is>
          <t>r.hanna@mutual-finance.co.uk</t>
        </is>
      </c>
      <c r="F54" s="4" t="inlineStr"/>
      <c r="G54" s="6" t="inlineStr">
        <is>
          <t>2025-06-30</t>
        </is>
      </c>
      <c r="H54" s="6" t="inlineStr">
        <is>
          <t>2025-06-30</t>
        </is>
      </c>
      <c r="I54" s="6" t="n">
        <v>0</v>
      </c>
      <c r="J54" s="6" t="n">
        <v>0</v>
      </c>
      <c r="K54" s="7" t="inlineStr">
        <is>
          <t>Named in a thread</t>
        </is>
      </c>
      <c r="L54" s="8" t="inlineStr">
        <is>
          <t>Introduced the refinance of Centenary House, Manchester</t>
        </is>
      </c>
    </row>
    <row r="55">
      <c r="A55" s="4" t="inlineStr">
        <is>
          <t>Tariq Ansari</t>
        </is>
      </c>
      <c r="B55" s="5" t="inlineStr">
        <is>
          <t>Broker</t>
        </is>
      </c>
      <c r="C55" s="4" t="inlineStr">
        <is>
          <t>Mutual Finance</t>
        </is>
      </c>
      <c r="D55" s="4" t="inlineStr"/>
      <c r="E55" s="4" t="inlineStr">
        <is>
          <t>t.ansari@mutual-finance.co.uk</t>
        </is>
      </c>
      <c r="F55" s="4" t="inlineStr"/>
      <c r="G55" s="6" t="inlineStr">
        <is>
          <t>2026-04-21</t>
        </is>
      </c>
      <c r="H55" s="6" t="inlineStr">
        <is>
          <t>2026-04-21</t>
        </is>
      </c>
      <c r="I55" s="6" t="n">
        <v>0</v>
      </c>
      <c r="J55" s="6" t="n">
        <v>0</v>
      </c>
      <c r="K55" s="7" t="inlineStr">
        <is>
          <t>Named in a thread</t>
        </is>
      </c>
      <c r="L55" s="8" t="inlineStr">
        <is>
          <t>New enquiry - refinance of two luxury houses in Wimbledon Village</t>
        </is>
      </c>
    </row>
    <row r="56">
      <c r="A56" s="4" t="inlineStr">
        <is>
          <t>Masood Rashid</t>
        </is>
      </c>
      <c r="B56" s="5" t="inlineStr">
        <is>
          <t>Broker</t>
        </is>
      </c>
      <c r="C56" s="4" t="inlineStr">
        <is>
          <t>Opes Financial Partners</t>
        </is>
      </c>
      <c r="D56" s="4" t="inlineStr"/>
      <c r="E56" s="4" t="inlineStr">
        <is>
          <t>masood.rashid@opesfp.com</t>
        </is>
      </c>
      <c r="F56" s="4" t="inlineStr"/>
      <c r="G56" s="6" t="inlineStr">
        <is>
          <t>2025-03-03</t>
        </is>
      </c>
      <c r="H56" s="6" t="inlineStr">
        <is>
          <t>2025-06-03</t>
        </is>
      </c>
      <c r="I56" s="6" t="n">
        <v>0</v>
      </c>
      <c r="J56" s="6" t="n">
        <v>0</v>
      </c>
      <c r="K56" s="7" t="inlineStr">
        <is>
          <t>Named in a thread</t>
        </is>
      </c>
      <c r="L56" s="8" t="inlineStr">
        <is>
          <t>Opes introduction of 58 Pont Street, London SW1X</t>
        </is>
      </c>
    </row>
    <row r="57">
      <c r="A57" s="4" t="inlineStr">
        <is>
          <t>Matthew Davies</t>
        </is>
      </c>
      <c r="B57" s="5" t="inlineStr">
        <is>
          <t>Broker</t>
        </is>
      </c>
      <c r="C57" s="4" t="inlineStr">
        <is>
          <t>Opes Financial Partners</t>
        </is>
      </c>
      <c r="D57" s="4" t="inlineStr"/>
      <c r="E57" s="4" t="inlineStr">
        <is>
          <t>matthew.davies@opesfp.com</t>
        </is>
      </c>
      <c r="F57" s="4" t="inlineStr"/>
      <c r="G57" s="6" t="inlineStr">
        <is>
          <t>2025-03-03</t>
        </is>
      </c>
      <c r="H57" s="6" t="inlineStr">
        <is>
          <t>2025-06-03</t>
        </is>
      </c>
      <c r="I57" s="6" t="n">
        <v>0</v>
      </c>
      <c r="J57" s="6" t="n">
        <v>0</v>
      </c>
      <c r="K57" s="7" t="inlineStr">
        <is>
          <t>Named in a thread</t>
        </is>
      </c>
      <c r="L57" s="8" t="inlineStr">
        <is>
          <t>Opes introduction of 58 Pont Street, London SW1X</t>
        </is>
      </c>
    </row>
    <row r="58">
      <c r="A58" s="4" t="inlineStr">
        <is>
          <t>Lewis</t>
        </is>
      </c>
      <c r="B58" s="5" t="inlineStr">
        <is>
          <t>Broker</t>
        </is>
      </c>
      <c r="C58" s="4" t="inlineStr">
        <is>
          <t>Pure Structured Finance</t>
        </is>
      </c>
      <c r="D58" s="4" t="inlineStr"/>
      <c r="E58" s="4" t="inlineStr">
        <is>
          <t>lewis@purestructuredfinance.co.uk</t>
        </is>
      </c>
      <c r="F58" s="4" t="inlineStr"/>
      <c r="G58" s="6" t="inlineStr">
        <is>
          <t>2026-03-27</t>
        </is>
      </c>
      <c r="H58" s="6" t="inlineStr">
        <is>
          <t>2026-03-27</t>
        </is>
      </c>
      <c r="I58" s="6" t="n">
        <v>0</v>
      </c>
      <c r="J58" s="6" t="n">
        <v>0</v>
      </c>
      <c r="K58" s="7" t="inlineStr">
        <is>
          <t>Named in a thread</t>
        </is>
      </c>
      <c r="L58" s="8" t="inlineStr">
        <is>
          <t>On the Project Nest debt raise, Elephant &amp; Castle SE1</t>
        </is>
      </c>
    </row>
    <row r="59">
      <c r="A59" s="4" t="inlineStr">
        <is>
          <t>Tom</t>
        </is>
      </c>
      <c r="B59" s="5" t="inlineStr">
        <is>
          <t>Broker</t>
        </is>
      </c>
      <c r="C59" s="4" t="inlineStr">
        <is>
          <t>Pure Structured Finance</t>
        </is>
      </c>
      <c r="D59" s="4" t="inlineStr"/>
      <c r="E59" s="4" t="inlineStr">
        <is>
          <t>tom@purestructuredfinance.co.uk</t>
        </is>
      </c>
      <c r="F59" s="4" t="inlineStr"/>
      <c r="G59" s="6" t="inlineStr">
        <is>
          <t>2026-03-27</t>
        </is>
      </c>
      <c r="H59" s="6" t="inlineStr">
        <is>
          <t>2026-03-27</t>
        </is>
      </c>
      <c r="I59" s="6" t="n">
        <v>0</v>
      </c>
      <c r="J59" s="6" t="n">
        <v>0</v>
      </c>
      <c r="K59" s="7" t="inlineStr">
        <is>
          <t>Named in a thread</t>
        </is>
      </c>
      <c r="L59" s="8" t="inlineStr">
        <is>
          <t>On the Project Nest debt raise, Elephant &amp; Castle SE1</t>
        </is>
      </c>
    </row>
    <row r="60">
      <c r="A60" s="4" t="inlineStr">
        <is>
          <t>Dan Tisdall</t>
        </is>
      </c>
      <c r="B60" s="5" t="inlineStr">
        <is>
          <t>Broker</t>
        </is>
      </c>
      <c r="C60" s="4" t="inlineStr">
        <is>
          <t>Quanta Investment</t>
        </is>
      </c>
      <c r="D60" s="4" t="inlineStr"/>
      <c r="E60" s="4" t="inlineStr">
        <is>
          <t>dan@quanta-investment.com</t>
        </is>
      </c>
      <c r="F60" s="4" t="inlineStr"/>
      <c r="G60" s="6" t="inlineStr">
        <is>
          <t>2025-06-03</t>
        </is>
      </c>
      <c r="H60" s="6" t="inlineStr">
        <is>
          <t>2026-07-23</t>
        </is>
      </c>
      <c r="I60" s="6" t="n">
        <v>3</v>
      </c>
      <c r="J60" s="6" t="n">
        <v>0</v>
      </c>
      <c r="K60" s="4" t="inlineStr">
        <is>
          <t>Direct correspondence</t>
        </is>
      </c>
      <c r="L60" s="8" t="inlineStr">
        <is>
          <t>Introduced the 11, 13 &amp; 15 Askew Road W12 bridge; takes 1% of the 2% arrangement fee. Trades as Capital and Property Limited</t>
        </is>
      </c>
    </row>
    <row r="61">
      <c r="A61" s="4" t="inlineStr">
        <is>
          <t>Christopher Khoi</t>
        </is>
      </c>
      <c r="B61" s="5" t="inlineStr">
        <is>
          <t>Broker</t>
        </is>
      </c>
      <c r="C61" s="4" t="inlineStr">
        <is>
          <t>RCP Finance</t>
        </is>
      </c>
      <c r="D61" s="4" t="inlineStr"/>
      <c r="E61" s="4" t="inlineStr">
        <is>
          <t>ckhoi@rcpfinance.com</t>
        </is>
      </c>
      <c r="F61" s="4" t="inlineStr"/>
      <c r="G61" s="6" t="inlineStr">
        <is>
          <t>2025-06-03</t>
        </is>
      </c>
      <c r="H61" s="6" t="inlineStr">
        <is>
          <t>2025-06-03</t>
        </is>
      </c>
      <c r="I61" s="6" t="n">
        <v>0</v>
      </c>
      <c r="J61" s="6" t="n">
        <v>0</v>
      </c>
      <c r="K61" s="7" t="inlineStr">
        <is>
          <t>Named in a thread</t>
        </is>
      </c>
      <c r="L61" s="8" t="inlineStr">
        <is>
          <t>On a Canterbury hotel finance enquiry</t>
        </is>
      </c>
    </row>
    <row r="62">
      <c r="A62" s="4" t="inlineStr">
        <is>
          <t>Ruben Chicheportiche</t>
        </is>
      </c>
      <c r="B62" s="5" t="inlineStr">
        <is>
          <t>Broker</t>
        </is>
      </c>
      <c r="C62" s="4" t="inlineStr">
        <is>
          <t>RCP Finance</t>
        </is>
      </c>
      <c r="D62" s="4" t="inlineStr"/>
      <c r="E62" s="4" t="inlineStr">
        <is>
          <t>rchicheportiche@rcpfinance.com</t>
        </is>
      </c>
      <c r="F62" s="4" t="inlineStr"/>
      <c r="G62" s="6" t="inlineStr">
        <is>
          <t>2025-06-03</t>
        </is>
      </c>
      <c r="H62" s="6" t="inlineStr">
        <is>
          <t>2025-06-03</t>
        </is>
      </c>
      <c r="I62" s="6" t="n">
        <v>0</v>
      </c>
      <c r="J62" s="6" t="n">
        <v>0</v>
      </c>
      <c r="K62" s="7" t="inlineStr">
        <is>
          <t>Named in a thread</t>
        </is>
      </c>
      <c r="L62" s="8" t="inlineStr">
        <is>
          <t>On a Canterbury hotel finance enquiry</t>
        </is>
      </c>
    </row>
    <row r="63">
      <c r="A63" s="4" t="inlineStr">
        <is>
          <t>Suleman Rafiq</t>
        </is>
      </c>
      <c r="B63" s="5" t="inlineStr">
        <is>
          <t>Broker</t>
        </is>
      </c>
      <c r="C63" s="4" t="inlineStr">
        <is>
          <t>Ros Capital (roscap.co.uk)</t>
        </is>
      </c>
      <c r="D63" s="4" t="inlineStr"/>
      <c r="E63" s="4" t="inlineStr">
        <is>
          <t>suleman@roscap.co.uk</t>
        </is>
      </c>
      <c r="F63" s="4" t="inlineStr"/>
      <c r="G63" s="6" t="inlineStr">
        <is>
          <t>2025-10-09</t>
        </is>
      </c>
      <c r="H63" s="6" t="inlineStr">
        <is>
          <t>2025-10-09</t>
        </is>
      </c>
      <c r="I63" s="6" t="n">
        <v>0</v>
      </c>
      <c r="J63" s="6" t="n">
        <v>0</v>
      </c>
      <c r="K63" s="7" t="inlineStr">
        <is>
          <t>Named in a thread</t>
        </is>
      </c>
      <c r="L63" s="8" t="inlineStr">
        <is>
          <t>Quoted To header "To: 'Suleman Rafiq' &lt;suleman@roscap.co.uk&gt;" in 'FW: 188 Wilmslow Road, Fallowfield, Manchester, M14 6LJ | Commercial Asset Acquisition Bridge Required' 09/10/2025</t>
        </is>
      </c>
    </row>
    <row r="64">
      <c r="A64" s="4" t="inlineStr">
        <is>
          <t>Daniel O'Neil</t>
        </is>
      </c>
      <c r="B64" s="5" t="inlineStr">
        <is>
          <t>Broker</t>
        </is>
      </c>
      <c r="C64" s="4" t="inlineStr">
        <is>
          <t>SPF Private Clients</t>
        </is>
      </c>
      <c r="D64" s="4" t="inlineStr"/>
      <c r="E64" s="4" t="inlineStr">
        <is>
          <t>doneil@spf.co.uk</t>
        </is>
      </c>
      <c r="F64" s="4" t="inlineStr"/>
      <c r="G64" s="6" t="inlineStr">
        <is>
          <t>2026-01-29</t>
        </is>
      </c>
      <c r="H64" s="6" t="inlineStr">
        <is>
          <t>2026-01-29</t>
        </is>
      </c>
      <c r="I64" s="6" t="n">
        <v>0</v>
      </c>
      <c r="J64" s="6" t="n">
        <v>0</v>
      </c>
      <c r="K64" s="7" t="inlineStr">
        <is>
          <t>Named in a thread</t>
        </is>
      </c>
      <c r="L64" s="8" t="inlineStr">
        <is>
          <t>SPF broker enquiring on REL's lending appetite</t>
        </is>
      </c>
    </row>
    <row r="65">
      <c r="A65" s="4" t="inlineStr">
        <is>
          <t>David Yeadon</t>
        </is>
      </c>
      <c r="B65" s="5" t="inlineStr">
        <is>
          <t>Broker</t>
        </is>
      </c>
      <c r="C65" s="4" t="inlineStr">
        <is>
          <t>SPF Private Clients</t>
        </is>
      </c>
      <c r="D65" s="4" t="inlineStr"/>
      <c r="E65" s="4" t="inlineStr">
        <is>
          <t>dyeadon@spf.co.uk</t>
        </is>
      </c>
      <c r="F65" s="4" t="inlineStr"/>
      <c r="G65" s="6" t="inlineStr">
        <is>
          <t>2026-01-29</t>
        </is>
      </c>
      <c r="H65" s="6" t="inlineStr">
        <is>
          <t>2026-03-02</t>
        </is>
      </c>
      <c r="I65" s="6" t="n">
        <v>0</v>
      </c>
      <c r="J65" s="6" t="n">
        <v>0</v>
      </c>
      <c r="K65" s="7" t="inlineStr">
        <is>
          <t>Named in a thread</t>
        </is>
      </c>
      <c r="L65" s="8" t="inlineStr">
        <is>
          <t>SPF broker; Beaufort Hotel, Knightsbridge refinance / bridge application</t>
        </is>
      </c>
    </row>
    <row r="66">
      <c r="A66" s="4" t="inlineStr">
        <is>
          <t>Laurie Marsh</t>
        </is>
      </c>
      <c r="B66" s="5" t="inlineStr">
        <is>
          <t>Broker</t>
        </is>
      </c>
      <c r="C66" s="4" t="inlineStr">
        <is>
          <t>TRST Advisory</t>
        </is>
      </c>
      <c r="D66" s="4" t="inlineStr"/>
      <c r="E66" s="4" t="inlineStr">
        <is>
          <t>laurie.marsh@trst-advisory.com</t>
        </is>
      </c>
      <c r="F66" s="4" t="inlineStr">
        <is>
          <t>+44 7525 582897</t>
        </is>
      </c>
      <c r="G66" s="6" t="inlineStr">
        <is>
          <t>2026-07-22</t>
        </is>
      </c>
      <c r="H66" s="6" t="inlineStr">
        <is>
          <t>2026-07-28</t>
        </is>
      </c>
      <c r="I66" s="6" t="n">
        <v>1</v>
      </c>
      <c r="J66" s="6" t="n">
        <v>0</v>
      </c>
      <c r="K66" s="4" t="inlineStr">
        <is>
          <t>Direct correspondence</t>
        </is>
      </c>
      <c r="L66" s="8" t="inlineStr">
        <is>
          <t>TRST debt advisor alongside Sarah Strang; Cedarstone KWH and Castleton Works</t>
        </is>
      </c>
    </row>
    <row r="67">
      <c r="A67" s="4" t="inlineStr">
        <is>
          <t>Sarah Strang</t>
        </is>
      </c>
      <c r="B67" s="5" t="inlineStr">
        <is>
          <t>Broker</t>
        </is>
      </c>
      <c r="C67" s="4" t="inlineStr">
        <is>
          <t>TRST Advisory</t>
        </is>
      </c>
      <c r="D67" s="4" t="inlineStr"/>
      <c r="E67" s="4" t="inlineStr">
        <is>
          <t>sarah.strang@trst-advisory.com</t>
        </is>
      </c>
      <c r="F67" s="4" t="inlineStr">
        <is>
          <t>+44 7742 466 791</t>
        </is>
      </c>
      <c r="G67" s="6" t="inlineStr">
        <is>
          <t>2026-07-22</t>
        </is>
      </c>
      <c r="H67" s="6" t="inlineStr">
        <is>
          <t>2026-07-28</t>
        </is>
      </c>
      <c r="I67" s="6" t="n">
        <v>2</v>
      </c>
      <c r="J67" s="6" t="n">
        <v>0</v>
      </c>
      <c r="K67" s="4" t="inlineStr">
        <is>
          <t>Direct correspondence</t>
        </is>
      </c>
      <c r="L67" s="8" t="inlineStr">
        <is>
          <t>Debt advisor running the Solaris / Castleton Works, Leeds c.£3.6m senior development bridge</t>
        </is>
      </c>
    </row>
    <row r="68">
      <c r="A68" s="4" t="inlineStr">
        <is>
          <t>Devraj Ray</t>
        </is>
      </c>
      <c r="B68" s="5" t="inlineStr">
        <is>
          <t>Broker</t>
        </is>
      </c>
      <c r="C68" s="4" t="inlineStr">
        <is>
          <t>Westdown Private Finance</t>
        </is>
      </c>
      <c r="D68" s="4" t="inlineStr">
        <is>
          <t>Managing Director</t>
        </is>
      </c>
      <c r="E68" s="4" t="inlineStr">
        <is>
          <t>devraj@westdownpf.com</t>
        </is>
      </c>
      <c r="F68" s="4" t="inlineStr">
        <is>
          <t>07770 929 757, 020 3633 1566</t>
        </is>
      </c>
      <c r="G68" s="6" t="inlineStr">
        <is>
          <t>2025-02-11</t>
        </is>
      </c>
      <c r="H68" s="6" t="inlineStr">
        <is>
          <t>2025-02-11</t>
        </is>
      </c>
      <c r="I68" s="6" t="n">
        <v>1</v>
      </c>
      <c r="J68" s="6" t="n">
        <v>0</v>
      </c>
      <c r="K68" s="4" t="inlineStr">
        <is>
          <t>Direct correspondence</t>
        </is>
      </c>
      <c r="L68" s="8" t="inlineStr">
        <is>
          <t>Introduced 24 &amp; 30 Sussex Gardens, a hotel with Westminster bookings</t>
        </is>
      </c>
    </row>
    <row r="69">
      <c r="A69" s="4" t="inlineStr">
        <is>
          <t>Indy Hora</t>
        </is>
      </c>
      <c r="B69" s="5" t="inlineStr">
        <is>
          <t>Broker</t>
        </is>
      </c>
      <c r="C69" s="4" t="inlineStr"/>
      <c r="D69" s="4" t="inlineStr"/>
      <c r="E69" s="4" t="inlineStr">
        <is>
          <t>indyhora@gmail.com</t>
        </is>
      </c>
      <c r="F69" s="4" t="inlineStr"/>
      <c r="G69" s="6" t="inlineStr">
        <is>
          <t>2025-06-03</t>
        </is>
      </c>
      <c r="H69" s="6" t="inlineStr">
        <is>
          <t>2025-06-03</t>
        </is>
      </c>
      <c r="I69" s="6" t="n">
        <v>0</v>
      </c>
      <c r="J69" s="6" t="n">
        <v>0</v>
      </c>
      <c r="K69" s="7" t="inlineStr">
        <is>
          <t>Named in a thread</t>
        </is>
      </c>
      <c r="L69" s="8" t="inlineStr">
        <is>
          <t>Source of a £20m hotel financing enquiry forwarded into REL</t>
        </is>
      </c>
    </row>
    <row r="70">
      <c r="A70" s="4" t="inlineStr">
        <is>
          <t>Manish Babla</t>
        </is>
      </c>
      <c r="B70" s="5" t="inlineStr">
        <is>
          <t>Broker</t>
        </is>
      </c>
      <c r="C70" s="4" t="inlineStr"/>
      <c r="D70" s="4" t="inlineStr">
        <is>
          <t>Debt Advisor</t>
        </is>
      </c>
      <c r="E70" s="4" t="inlineStr">
        <is>
          <t>manishbabla@gmail.com</t>
        </is>
      </c>
      <c r="F70" s="4" t="inlineStr">
        <is>
          <t>07866 435 144</t>
        </is>
      </c>
      <c r="G70" s="6" t="inlineStr">
        <is>
          <t>2026-05-27</t>
        </is>
      </c>
      <c r="H70" s="6" t="inlineStr">
        <is>
          <t>2026-06-01</t>
        </is>
      </c>
      <c r="I70" s="6" t="n">
        <v>5</v>
      </c>
      <c r="J70" s="6" t="n">
        <v>0</v>
      </c>
      <c r="K70" s="4" t="inlineStr">
        <is>
          <t>Direct correspondence</t>
        </is>
      </c>
      <c r="L70" s="8" t="inlineStr">
        <is>
          <t>Independent introducer; brought Bemal Patel and Lincolns Inn Fields (£8.9m-£10.8m refi), takes 0.75% debt advisor fee</t>
        </is>
      </c>
    </row>
    <row r="71">
      <c r="A71" s="4" t="inlineStr">
        <is>
          <t>GB Bank Loan Completions Team</t>
        </is>
      </c>
      <c r="B71" s="9" t="inlineStr">
        <is>
          <t>Lender / Bank</t>
        </is>
      </c>
      <c r="C71" s="4" t="inlineStr">
        <is>
          <t>GB Bank</t>
        </is>
      </c>
      <c r="D71" s="4" t="inlineStr"/>
      <c r="E71" s="4" t="inlineStr">
        <is>
          <t>lct@thegbb.co.uk</t>
        </is>
      </c>
      <c r="F71" s="4" t="inlineStr"/>
      <c r="G71" s="6" t="inlineStr">
        <is>
          <t>2026-04-07</t>
        </is>
      </c>
      <c r="H71" s="6" t="inlineStr">
        <is>
          <t>2026-04-15</t>
        </is>
      </c>
      <c r="I71" s="6" t="n">
        <v>0</v>
      </c>
      <c r="J71" s="6" t="n">
        <v>0</v>
      </c>
      <c r="K71" s="7" t="inlineStr">
        <is>
          <t>Named in a thread</t>
        </is>
      </c>
      <c r="L71" s="8" t="inlineStr">
        <is>
          <t>GB Bank completions team inbox used for the London Land Bromley drawdown</t>
        </is>
      </c>
    </row>
    <row r="72">
      <c r="A72" s="4" t="inlineStr">
        <is>
          <t>GB Bank Portfolio Team</t>
        </is>
      </c>
      <c r="B72" s="9" t="inlineStr">
        <is>
          <t>Lender / Bank</t>
        </is>
      </c>
      <c r="C72" s="4" t="inlineStr">
        <is>
          <t>GB Bank</t>
        </is>
      </c>
      <c r="D72" s="4" t="inlineStr"/>
      <c r="E72" s="4" t="inlineStr">
        <is>
          <t>portfolio@thegbb.co.uk</t>
        </is>
      </c>
      <c r="F72" s="4" t="inlineStr"/>
      <c r="G72" s="6" t="inlineStr">
        <is>
          <t>2026-06-22</t>
        </is>
      </c>
      <c r="H72" s="6" t="inlineStr">
        <is>
          <t>2026-07-16</t>
        </is>
      </c>
      <c r="I72" s="6" t="n">
        <v>0</v>
      </c>
      <c r="J72" s="6" t="n">
        <v>0</v>
      </c>
      <c r="K72" s="7" t="inlineStr">
        <is>
          <t>Named in a thread</t>
        </is>
      </c>
      <c r="L72" s="8" t="inlineStr">
        <is>
          <t>GB Bank portfolio management inbox on the DNA Uxbridge loan</t>
        </is>
      </c>
    </row>
    <row r="73">
      <c r="A73" s="4" t="inlineStr">
        <is>
          <t>Hanan Abubaker</t>
        </is>
      </c>
      <c r="B73" s="9" t="inlineStr">
        <is>
          <t>Lender / Bank</t>
        </is>
      </c>
      <c r="C73" s="4" t="inlineStr">
        <is>
          <t>GB Bank</t>
        </is>
      </c>
      <c r="D73" s="4" t="inlineStr">
        <is>
          <t>Portfolio Manager</t>
        </is>
      </c>
      <c r="E73" s="4" t="inlineStr">
        <is>
          <t>hanan.abubaker@thegbb.co.uk</t>
        </is>
      </c>
      <c r="F73" s="4" t="inlineStr">
        <is>
          <t>03330 387623</t>
        </is>
      </c>
      <c r="G73" s="6" t="inlineStr">
        <is>
          <t>2026-06-22</t>
        </is>
      </c>
      <c r="H73" s="6" t="inlineStr">
        <is>
          <t>2026-07-16</t>
        </is>
      </c>
      <c r="I73" s="6" t="n">
        <v>4</v>
      </c>
      <c r="J73" s="6" t="n">
        <v>0</v>
      </c>
      <c r="K73" s="4" t="inlineStr">
        <is>
          <t>Direct correspondence</t>
        </is>
      </c>
      <c r="L73" s="8" t="inlineStr">
        <is>
          <t>GB Bank portfolio manager on the DNA Uxbridge loan</t>
        </is>
      </c>
    </row>
    <row r="74">
      <c r="A74" s="4" t="inlineStr">
        <is>
          <t>Hardik Gogia</t>
        </is>
      </c>
      <c r="B74" s="9" t="inlineStr">
        <is>
          <t>Lender / Bank</t>
        </is>
      </c>
      <c r="C74" s="4" t="inlineStr">
        <is>
          <t>GB Bank</t>
        </is>
      </c>
      <c r="D74" s="4" t="inlineStr">
        <is>
          <t>Business Development Manager</t>
        </is>
      </c>
      <c r="E74" s="4" t="inlineStr">
        <is>
          <t>hardik.gogia@thegbb.co.uk</t>
        </is>
      </c>
      <c r="F74" s="4" t="inlineStr">
        <is>
          <t>+44 7586234864</t>
        </is>
      </c>
      <c r="G74" s="6" t="inlineStr">
        <is>
          <t>2026-02-04</t>
        </is>
      </c>
      <c r="H74" s="6" t="inlineStr">
        <is>
          <t>2026-06-22</t>
        </is>
      </c>
      <c r="I74" s="6" t="n">
        <v>14</v>
      </c>
      <c r="J74" s="6" t="n">
        <v>0</v>
      </c>
      <c r="K74" s="4" t="inlineStr">
        <is>
          <t>Direct correspondence</t>
        </is>
      </c>
      <c r="L74" s="8" t="inlineStr">
        <is>
          <t>Main GB Bank originator on the REL loan-on-loan line; London Land Bromley and DNA Uxbridge</t>
        </is>
      </c>
    </row>
    <row r="75">
      <c r="A75" s="4" t="inlineStr">
        <is>
          <t>Hrishikesh Tendulkar</t>
        </is>
      </c>
      <c r="B75" s="9" t="inlineStr">
        <is>
          <t>Lender / Bank</t>
        </is>
      </c>
      <c r="C75" s="4" t="inlineStr">
        <is>
          <t>GB Bank</t>
        </is>
      </c>
      <c r="D75" s="4" t="inlineStr">
        <is>
          <t>Loan Completions Manager</t>
        </is>
      </c>
      <c r="E75" s="4" t="inlineStr">
        <is>
          <t>hrishikesh.tendulkar@thegbb.co.uk</t>
        </is>
      </c>
      <c r="F75" s="4" t="inlineStr">
        <is>
          <t>+44 (0) 333 038 7563</t>
        </is>
      </c>
      <c r="G75" s="6" t="inlineStr">
        <is>
          <t>2026-04-07</t>
        </is>
      </c>
      <c r="H75" s="6" t="inlineStr">
        <is>
          <t>2026-04-15</t>
        </is>
      </c>
      <c r="I75" s="6" t="n">
        <v>5</v>
      </c>
      <c r="J75" s="6" t="n">
        <v>0</v>
      </c>
      <c r="K75" s="4" t="inlineStr">
        <is>
          <t>Direct correspondence</t>
        </is>
      </c>
      <c r="L75" s="8" t="inlineStr">
        <is>
          <t>Runs GB Bank completions on the London Land Bromley drawdown</t>
        </is>
      </c>
    </row>
    <row r="76">
      <c r="A76" s="4" t="inlineStr">
        <is>
          <t>Nick Lynch</t>
        </is>
      </c>
      <c r="B76" s="9" t="inlineStr">
        <is>
          <t>Lender / Bank</t>
        </is>
      </c>
      <c r="C76" s="4" t="inlineStr">
        <is>
          <t>GB Bank</t>
        </is>
      </c>
      <c r="D76" s="4" t="inlineStr">
        <is>
          <t>Head of Loan Originations &amp; Portfolio Management</t>
        </is>
      </c>
      <c r="E76" s="4" t="inlineStr">
        <is>
          <t>nick.lynch@thegbb.co.uk</t>
        </is>
      </c>
      <c r="F76" s="4" t="inlineStr">
        <is>
          <t>+44 (0)333 038 7564</t>
        </is>
      </c>
      <c r="G76" s="6" t="inlineStr">
        <is>
          <t>2026-04-01</t>
        </is>
      </c>
      <c r="H76" s="6" t="inlineStr">
        <is>
          <t>2026-07-16</t>
        </is>
      </c>
      <c r="I76" s="6" t="n">
        <v>5</v>
      </c>
      <c r="J76" s="6" t="n">
        <v>0</v>
      </c>
      <c r="K76" s="4" t="inlineStr">
        <is>
          <t>Direct correspondence</t>
        </is>
      </c>
      <c r="L76" s="8" t="inlineStr">
        <is>
          <t>GB Bank originations head across the London Land Bromley deal</t>
        </is>
      </c>
    </row>
    <row r="77">
      <c r="A77" s="4" t="inlineStr">
        <is>
          <t>Pankaj Thukral</t>
        </is>
      </c>
      <c r="B77" s="9" t="inlineStr">
        <is>
          <t>Lender / Bank</t>
        </is>
      </c>
      <c r="C77" s="4" t="inlineStr">
        <is>
          <t>GB Bank</t>
        </is>
      </c>
      <c r="D77" s="4" t="inlineStr"/>
      <c r="E77" s="4" t="inlineStr">
        <is>
          <t>pankaj.thukral@thegbb.co.uk</t>
        </is>
      </c>
      <c r="F77" s="4" t="inlineStr"/>
      <c r="G77" s="6" t="inlineStr">
        <is>
          <t>2026-02-04</t>
        </is>
      </c>
      <c r="H77" s="6" t="inlineStr">
        <is>
          <t>2026-03-12</t>
        </is>
      </c>
      <c r="I77" s="6" t="n">
        <v>2</v>
      </c>
      <c r="J77" s="6" t="n">
        <v>0</v>
      </c>
      <c r="K77" s="4" t="inlineStr">
        <is>
          <t>Direct correspondence</t>
        </is>
      </c>
      <c r="L77" s="8" t="inlineStr">
        <is>
          <t>GB Bank decision-maker; agreed the c.£50m loan-on-loan framework at 1% fee / 4% margin</t>
        </is>
      </c>
    </row>
    <row r="78">
      <c r="A78" s="4" t="inlineStr">
        <is>
          <t>Pranav Jain</t>
        </is>
      </c>
      <c r="B78" s="9" t="inlineStr">
        <is>
          <t>Lender / Bank</t>
        </is>
      </c>
      <c r="C78" s="4" t="inlineStr">
        <is>
          <t>GB Bank</t>
        </is>
      </c>
      <c r="D78" s="4" t="inlineStr"/>
      <c r="E78" s="4" t="inlineStr">
        <is>
          <t>pranav.jain@thegbb.co.uk</t>
        </is>
      </c>
      <c r="F78" s="4" t="inlineStr"/>
      <c r="G78" s="6" t="inlineStr">
        <is>
          <t>2026-06-22</t>
        </is>
      </c>
      <c r="H78" s="6" t="inlineStr">
        <is>
          <t>2026-07-16</t>
        </is>
      </c>
      <c r="I78" s="6" t="n">
        <v>0</v>
      </c>
      <c r="J78" s="6" t="n">
        <v>0</v>
      </c>
      <c r="K78" s="7" t="inlineStr">
        <is>
          <t>Named in a thread</t>
        </is>
      </c>
      <c r="L78" s="8" t="inlineStr"/>
    </row>
    <row r="79">
      <c r="A79" s="4" t="inlineStr">
        <is>
          <t>Richard Clare</t>
        </is>
      </c>
      <c r="B79" s="9" t="inlineStr">
        <is>
          <t>Lender / Bank</t>
        </is>
      </c>
      <c r="C79" s="4" t="inlineStr">
        <is>
          <t>GB Bank</t>
        </is>
      </c>
      <c r="D79" s="4" t="inlineStr"/>
      <c r="E79" s="4" t="inlineStr">
        <is>
          <t>richard.clare@thegbb.co.uk</t>
        </is>
      </c>
      <c r="F79" s="4" t="inlineStr"/>
      <c r="G79" s="6" t="inlineStr">
        <is>
          <t>2026-07-16</t>
        </is>
      </c>
      <c r="H79" s="6" t="inlineStr">
        <is>
          <t>2026-07-16</t>
        </is>
      </c>
      <c r="I79" s="6" t="n">
        <v>0</v>
      </c>
      <c r="J79" s="6" t="n">
        <v>0</v>
      </c>
      <c r="K79" s="7" t="inlineStr">
        <is>
          <t>Named in a thread</t>
        </is>
      </c>
      <c r="L79" s="8" t="inlineStr"/>
    </row>
    <row r="80">
      <c r="A80" s="4" t="inlineStr">
        <is>
          <t>Saba Kebede</t>
        </is>
      </c>
      <c r="B80" s="9" t="inlineStr">
        <is>
          <t>Lender / Bank</t>
        </is>
      </c>
      <c r="C80" s="4" t="inlineStr">
        <is>
          <t>GB Bank</t>
        </is>
      </c>
      <c r="D80" s="4" t="inlineStr"/>
      <c r="E80" s="4" t="inlineStr">
        <is>
          <t>saba.kebede@thegbb.co.uk</t>
        </is>
      </c>
      <c r="F80" s="4" t="inlineStr"/>
      <c r="G80" s="6" t="inlineStr">
        <is>
          <t>2026-06-24</t>
        </is>
      </c>
      <c r="H80" s="6" t="inlineStr">
        <is>
          <t>2026-07-16</t>
        </is>
      </c>
      <c r="I80" s="6" t="n">
        <v>0</v>
      </c>
      <c r="J80" s="6" t="n">
        <v>0</v>
      </c>
      <c r="K80" s="7" t="inlineStr">
        <is>
          <t>Named in a thread</t>
        </is>
      </c>
      <c r="L80" s="8" t="inlineStr"/>
    </row>
    <row r="81">
      <c r="A81" s="4" t="inlineStr">
        <is>
          <t>Suravi Garg</t>
        </is>
      </c>
      <c r="B81" s="9" t="inlineStr">
        <is>
          <t>Lender / Bank</t>
        </is>
      </c>
      <c r="C81" s="4" t="inlineStr">
        <is>
          <t>GB Bank</t>
        </is>
      </c>
      <c r="D81" s="4" t="inlineStr"/>
      <c r="E81" s="4" t="inlineStr">
        <is>
          <t>suravi.garg@thegbb.co.uk</t>
        </is>
      </c>
      <c r="F81" s="4" t="inlineStr"/>
      <c r="G81" s="6" t="inlineStr">
        <is>
          <t>2026-03-04</t>
        </is>
      </c>
      <c r="H81" s="6" t="inlineStr">
        <is>
          <t>2026-07-16</t>
        </is>
      </c>
      <c r="I81" s="6" t="n">
        <v>1</v>
      </c>
      <c r="J81" s="6" t="n">
        <v>0</v>
      </c>
      <c r="K81" s="4" t="inlineStr">
        <is>
          <t>Direct correspondence</t>
        </is>
      </c>
      <c r="L81" s="8" t="inlineStr">
        <is>
          <t>GB Bank analyst; Bromley unit breakdown and comparables</t>
        </is>
      </c>
    </row>
    <row r="82">
      <c r="A82" s="4" t="inlineStr">
        <is>
          <t>Alexey Shokhin</t>
        </is>
      </c>
      <c r="B82" s="9" t="inlineStr">
        <is>
          <t>Lender / Bank</t>
        </is>
      </c>
      <c r="C82" s="4" t="inlineStr">
        <is>
          <t>Hilco Real Estate Finance (HREF) UK</t>
        </is>
      </c>
      <c r="D82" s="4" t="inlineStr">
        <is>
          <t>Director</t>
        </is>
      </c>
      <c r="E82" s="4" t="inlineStr">
        <is>
          <t>ashokhin@hilcoglobal.com</t>
        </is>
      </c>
      <c r="F82" s="4" t="inlineStr">
        <is>
          <t>+44 7984 748773</t>
        </is>
      </c>
      <c r="G82" s="6" t="inlineStr">
        <is>
          <t>2026-02-24</t>
        </is>
      </c>
      <c r="H82" s="6" t="inlineStr">
        <is>
          <t>2026-02-24</t>
        </is>
      </c>
      <c r="I82" s="6" t="n">
        <v>0</v>
      </c>
      <c r="J82" s="6" t="n">
        <v>0</v>
      </c>
      <c r="K82" s="7" t="inlineStr">
        <is>
          <t>Named in a thread</t>
        </is>
      </c>
      <c r="L82" s="8" t="inlineStr">
        <is>
          <t>HREF UK origination team contact block in the forwarded HREF letter of support, 24/02/2026.</t>
        </is>
      </c>
    </row>
    <row r="83">
      <c r="A83" s="4" t="inlineStr">
        <is>
          <t>Asim Shirawani</t>
        </is>
      </c>
      <c r="B83" s="9" t="inlineStr">
        <is>
          <t>Lender / Bank</t>
        </is>
      </c>
      <c r="C83" s="4" t="inlineStr">
        <is>
          <t>Hilco Real Estate Finance (HREF) UK</t>
        </is>
      </c>
      <c r="D83" s="4" t="inlineStr">
        <is>
          <t>Managing Director</t>
        </is>
      </c>
      <c r="E83" s="4" t="inlineStr">
        <is>
          <t>ashirwani@hilcoglobal.com</t>
        </is>
      </c>
      <c r="F83" s="4" t="inlineStr">
        <is>
          <t>+44 7846 632245</t>
        </is>
      </c>
      <c r="G83" s="6" t="inlineStr">
        <is>
          <t>2026-02-24</t>
        </is>
      </c>
      <c r="H83" s="6" t="inlineStr">
        <is>
          <t>2026-02-24</t>
        </is>
      </c>
      <c r="I83" s="6" t="n">
        <v>0</v>
      </c>
      <c r="J83" s="6" t="n">
        <v>0</v>
      </c>
      <c r="K83" s="7" t="inlineStr">
        <is>
          <t>Named in a thread</t>
        </is>
      </c>
      <c r="L83" s="8" t="inlineStr">
        <is>
          <t>HREF UK origination team contact block in the forwarded HREF letter of support, 24/02/2026.</t>
        </is>
      </c>
    </row>
    <row r="84">
      <c r="A84" s="4" t="inlineStr">
        <is>
          <t>Hilco Real Estate Finance UK (general mailbox)</t>
        </is>
      </c>
      <c r="B84" s="9" t="inlineStr">
        <is>
          <t>Lender / Bank</t>
        </is>
      </c>
      <c r="C84" s="4" t="inlineStr">
        <is>
          <t>Hilco Real Estate Finance (HREF) UK</t>
        </is>
      </c>
      <c r="D84" s="4" t="inlineStr"/>
      <c r="E84" s="4" t="inlineStr">
        <is>
          <t>info@hilcoglobal.com</t>
        </is>
      </c>
      <c r="F84" s="4" t="inlineStr"/>
      <c r="G84" s="6" t="inlineStr">
        <is>
          <t>2026-02-24</t>
        </is>
      </c>
      <c r="H84" s="6" t="inlineStr">
        <is>
          <t>2026-02-24</t>
        </is>
      </c>
      <c r="I84" s="6" t="n">
        <v>0</v>
      </c>
      <c r="J84" s="6" t="n">
        <v>0</v>
      </c>
      <c r="K84" s="7" t="inlineStr">
        <is>
          <t>Named in a thread</t>
        </is>
      </c>
      <c r="L84" s="8" t="inlineStr">
        <is>
          <t>Sender of the HREF broker letter quoted in 'FW: Letter of Support from HREF Chief Investment Officer...' — 'From: Hilco Real Estate Finance UK &lt;info@hilcoglobal.com&gt; Date: Tuesday, 24 February 2026'.</t>
        </is>
      </c>
    </row>
    <row r="85">
      <c r="A85" s="4" t="inlineStr">
        <is>
          <t>Sean Adams</t>
        </is>
      </c>
      <c r="B85" s="9" t="inlineStr">
        <is>
          <t>Lender / Bank</t>
        </is>
      </c>
      <c r="C85" s="4" t="inlineStr">
        <is>
          <t>Hilco Real Estate Finance (HREF) UK</t>
        </is>
      </c>
      <c r="D85" s="4" t="inlineStr">
        <is>
          <t>Managing Director</t>
        </is>
      </c>
      <c r="E85" s="4" t="inlineStr">
        <is>
          <t>sadams@hilcoglobal.com</t>
        </is>
      </c>
      <c r="F85" s="4" t="inlineStr">
        <is>
          <t>+44 7968 553341</t>
        </is>
      </c>
      <c r="G85" s="6" t="inlineStr">
        <is>
          <t>2026-02-24</t>
        </is>
      </c>
      <c r="H85" s="6" t="inlineStr">
        <is>
          <t>2026-02-24</t>
        </is>
      </c>
      <c r="I85" s="6" t="n">
        <v>0</v>
      </c>
      <c r="J85" s="6" t="n">
        <v>0</v>
      </c>
      <c r="K85" s="7" t="inlineStr">
        <is>
          <t>Named in a thread</t>
        </is>
      </c>
      <c r="L85" s="8" t="inlineStr">
        <is>
          <t>HREF UK origination team contact block inside forwarded 'Letter of Support from HREF Chief Investment Officer to Broker Clients Following MFS and Century Capital Administrations', forwarded to REL 25/02/2026 (original 24/02/2026).</t>
        </is>
      </c>
    </row>
    <row r="86">
      <c r="A86" s="4" t="inlineStr">
        <is>
          <t>Steve Allen</t>
        </is>
      </c>
      <c r="B86" s="9" t="inlineStr">
        <is>
          <t>Lender / Bank</t>
        </is>
      </c>
      <c r="C86" s="4" t="inlineStr">
        <is>
          <t>Hilco Real Estate Finance (HREF) UK</t>
        </is>
      </c>
      <c r="D86" s="4" t="inlineStr">
        <is>
          <t>Director</t>
        </is>
      </c>
      <c r="E86" s="4" t="inlineStr">
        <is>
          <t>sallen@hilcoglobal.com</t>
        </is>
      </c>
      <c r="F86" s="4" t="inlineStr">
        <is>
          <t>+44 7355 035003</t>
        </is>
      </c>
      <c r="G86" s="6" t="inlineStr">
        <is>
          <t>2026-02-24</t>
        </is>
      </c>
      <c r="H86" s="6" t="inlineStr">
        <is>
          <t>2026-02-24</t>
        </is>
      </c>
      <c r="I86" s="6" t="n">
        <v>0</v>
      </c>
      <c r="J86" s="6" t="n">
        <v>0</v>
      </c>
      <c r="K86" s="7" t="inlineStr">
        <is>
          <t>Named in a thread</t>
        </is>
      </c>
      <c r="L86" s="8" t="inlineStr">
        <is>
          <t>HREF UK origination team contact block in the forwarded HREF letter of support, 24/02/2026.</t>
        </is>
      </c>
    </row>
    <row r="87">
      <c r="A87" s="4" t="inlineStr">
        <is>
          <t>Anek Mhajan</t>
        </is>
      </c>
      <c r="B87" s="9" t="inlineStr">
        <is>
          <t>Lender / Bank</t>
        </is>
      </c>
      <c r="C87" s="4" t="inlineStr">
        <is>
          <t>Investec Bank plc</t>
        </is>
      </c>
      <c r="D87" s="4" t="inlineStr"/>
      <c r="E87" s="4" t="inlineStr">
        <is>
          <t>anek.mhajan@investec.com</t>
        </is>
      </c>
      <c r="F87" s="4" t="inlineStr"/>
      <c r="G87" s="6" t="inlineStr">
        <is>
          <t>2026-02-11</t>
        </is>
      </c>
      <c r="H87" s="6" t="inlineStr">
        <is>
          <t>2026-02-11</t>
        </is>
      </c>
      <c r="I87" s="6" t="n">
        <v>0</v>
      </c>
      <c r="J87" s="6" t="n">
        <v>0</v>
      </c>
      <c r="K87" s="7" t="inlineStr">
        <is>
          <t>Named in a thread</t>
        </is>
      </c>
      <c r="L87" s="8" t="inlineStr">
        <is>
          <t>Forwarded header in 'FW: LOAN REQUEST SECURED BY ULTRA PRIME COLLATERAL' 12/02/2026 — Investec passed the Westvile Securities / 46 Holland Park refinance to REL.</t>
        </is>
      </c>
    </row>
    <row r="88">
      <c r="A88" s="4" t="inlineStr">
        <is>
          <t>Tom Bradshaw</t>
        </is>
      </c>
      <c r="B88" s="9" t="inlineStr">
        <is>
          <t>Lender / Bank</t>
        </is>
      </c>
      <c r="C88" s="4" t="inlineStr">
        <is>
          <t>Investec Bank plc</t>
        </is>
      </c>
      <c r="D88" s="4" t="inlineStr"/>
      <c r="E88" s="4" t="inlineStr">
        <is>
          <t>tom.bradshaw@investec.com</t>
        </is>
      </c>
      <c r="F88" s="4" t="inlineStr"/>
      <c r="G88" s="6" t="inlineStr">
        <is>
          <t>2026-02-11</t>
        </is>
      </c>
      <c r="H88" s="6" t="inlineStr">
        <is>
          <t>2026-02-11</t>
        </is>
      </c>
      <c r="I88" s="6" t="n">
        <v>0</v>
      </c>
      <c r="J88" s="6" t="n">
        <v>0</v>
      </c>
      <c r="K88" s="7" t="inlineStr">
        <is>
          <t>Named in a thread</t>
        </is>
      </c>
      <c r="L88" s="8" t="inlineStr">
        <is>
          <t>Quoted 'To:' header inside the same forwarded Westvile Securities loan request chain, 11/02/2026.</t>
        </is>
      </c>
    </row>
    <row r="89">
      <c r="A89" s="4" t="inlineStr">
        <is>
          <t>Deepesh Thakrar</t>
        </is>
      </c>
      <c r="B89" s="9" t="inlineStr">
        <is>
          <t>Lender / Bank</t>
        </is>
      </c>
      <c r="C89" s="4" t="inlineStr">
        <is>
          <t>OakNorth</t>
        </is>
      </c>
      <c r="D89" s="4" t="inlineStr">
        <is>
          <t>Managing Director, Debt Finance</t>
        </is>
      </c>
      <c r="E89" s="4" t="inlineStr">
        <is>
          <t>deepesh.thakrar@oaknorth.co.uk</t>
        </is>
      </c>
      <c r="F89" s="4" t="inlineStr">
        <is>
          <t>+447776154745</t>
        </is>
      </c>
      <c r="G89" s="6" t="inlineStr">
        <is>
          <t>2025-06-24</t>
        </is>
      </c>
      <c r="H89" s="6" t="inlineStr">
        <is>
          <t>2026-07-28</t>
        </is>
      </c>
      <c r="I89" s="6" t="n">
        <v>4</v>
      </c>
      <c r="J89" s="6" t="n">
        <v>1</v>
      </c>
      <c r="K89" s="4" t="inlineStr">
        <is>
          <t>Direct correspondence</t>
        </is>
      </c>
      <c r="L89" s="8" t="inlineStr">
        <is>
          <t>Senior OakNorth relationship - Elysian Stanmore and St Clements valuation</t>
        </is>
      </c>
    </row>
    <row r="90">
      <c r="A90" s="4" t="inlineStr">
        <is>
          <t>Gagandeep Singh</t>
        </is>
      </c>
      <c r="B90" s="9" t="inlineStr">
        <is>
          <t>Lender / Bank</t>
        </is>
      </c>
      <c r="C90" s="4" t="inlineStr">
        <is>
          <t>OakNorth</t>
        </is>
      </c>
      <c r="D90" s="4" t="inlineStr">
        <is>
          <t>Senior Director, Portfolio Monitoring</t>
        </is>
      </c>
      <c r="E90" s="4" t="inlineStr">
        <is>
          <t>gagandeep.singh@oaknorth.co.uk</t>
        </is>
      </c>
      <c r="F90" s="4" t="inlineStr">
        <is>
          <t>+447586031463, +44 7586 031463</t>
        </is>
      </c>
      <c r="G90" s="6" t="inlineStr">
        <is>
          <t>2026-01-27</t>
        </is>
      </c>
      <c r="H90" s="6" t="inlineStr">
        <is>
          <t>2026-07-28</t>
        </is>
      </c>
      <c r="I90" s="6" t="n">
        <v>22</v>
      </c>
      <c r="J90" s="6" t="n">
        <v>2</v>
      </c>
      <c r="K90" s="4" t="inlineStr">
        <is>
          <t>Direct correspondence</t>
        </is>
      </c>
      <c r="L90" s="8" t="inlineStr">
        <is>
          <t>Runs OakNorth monitoring and MI reporting on the ESSL facility</t>
        </is>
      </c>
    </row>
    <row r="91">
      <c r="A91" s="4" t="inlineStr">
        <is>
          <t>Hemesh Patel</t>
        </is>
      </c>
      <c r="B91" s="9" t="inlineStr">
        <is>
          <t>Lender / Bank</t>
        </is>
      </c>
      <c r="C91" s="4" t="inlineStr">
        <is>
          <t>OakNorth</t>
        </is>
      </c>
      <c r="D91" s="4" t="inlineStr">
        <is>
          <t>Director, Property Finance</t>
        </is>
      </c>
      <c r="E91" s="4" t="inlineStr">
        <is>
          <t>hemesh.patel@oaknorth.co.uk</t>
        </is>
      </c>
      <c r="F91" s="4" t="inlineStr">
        <is>
          <t>+447771375386, +44 7771 375386</t>
        </is>
      </c>
      <c r="G91" s="6" t="inlineStr">
        <is>
          <t>2025-10-08</t>
        </is>
      </c>
      <c r="H91" s="6" t="inlineStr">
        <is>
          <t>2026-07-20</t>
        </is>
      </c>
      <c r="I91" s="6" t="n">
        <v>39</v>
      </c>
      <c r="J91" s="6" t="n">
        <v>0</v>
      </c>
      <c r="K91" s="4" t="inlineStr">
        <is>
          <t>Direct correspondence</t>
        </is>
      </c>
      <c r="L91" s="8" t="inlineStr">
        <is>
          <t>GBP 32.5m Southeast industrial portfolio refinance and Plant Basingstoke</t>
        </is>
      </c>
    </row>
    <row r="92">
      <c r="A92" s="4" t="inlineStr">
        <is>
          <t>Luke Branchflower</t>
        </is>
      </c>
      <c r="B92" s="9" t="inlineStr">
        <is>
          <t>Lender / Bank</t>
        </is>
      </c>
      <c r="C92" s="4" t="inlineStr">
        <is>
          <t>OakNorth</t>
        </is>
      </c>
      <c r="D92" s="4" t="inlineStr">
        <is>
          <t>Associate, Debt Finance</t>
        </is>
      </c>
      <c r="E92" s="4" t="inlineStr">
        <is>
          <t>luke.branchflower@oaknorth.co.uk</t>
        </is>
      </c>
      <c r="F92" s="4" t="inlineStr">
        <is>
          <t>07582748413</t>
        </is>
      </c>
      <c r="G92" s="6" t="inlineStr">
        <is>
          <t>2026-01-15</t>
        </is>
      </c>
      <c r="H92" s="6" t="inlineStr">
        <is>
          <t>2026-07-20</t>
        </is>
      </c>
      <c r="I92" s="6" t="n">
        <v>6</v>
      </c>
      <c r="J92" s="6" t="n">
        <v>0</v>
      </c>
      <c r="K92" s="4" t="inlineStr">
        <is>
          <t>Direct correspondence</t>
        </is>
      </c>
      <c r="L92" s="8" t="inlineStr">
        <is>
          <t>Debt finance associate on Plant Basingstoke</t>
        </is>
      </c>
    </row>
    <row r="93">
      <c r="A93" s="4" t="inlineStr">
        <is>
          <t>Magdalena Wierzchowska</t>
        </is>
      </c>
      <c r="B93" s="9" t="inlineStr">
        <is>
          <t>Lender / Bank</t>
        </is>
      </c>
      <c r="C93" s="4" t="inlineStr">
        <is>
          <t>OakNorth</t>
        </is>
      </c>
      <c r="D93" s="4" t="inlineStr">
        <is>
          <t>Director, Legal and Transaction Management</t>
        </is>
      </c>
      <c r="E93" s="4" t="inlineStr">
        <is>
          <t>magdalena.wierzchowska@oaknorth.co.uk</t>
        </is>
      </c>
      <c r="F93" s="4" t="inlineStr">
        <is>
          <t>+44 7841 423326</t>
        </is>
      </c>
      <c r="G93" s="6" t="inlineStr">
        <is>
          <t>2026-06-26</t>
        </is>
      </c>
      <c r="H93" s="6" t="inlineStr">
        <is>
          <t>2026-07-15</t>
        </is>
      </c>
      <c r="I93" s="6" t="n">
        <v>5</v>
      </c>
      <c r="J93" s="6" t="n">
        <v>0</v>
      </c>
      <c r="K93" s="4" t="inlineStr">
        <is>
          <t>Direct correspondence</t>
        </is>
      </c>
      <c r="L93" s="8" t="inlineStr">
        <is>
          <t>Legals and funds flow on the Charte Forte (Monument) REL refinance</t>
        </is>
      </c>
    </row>
    <row r="94">
      <c r="A94" s="4" t="inlineStr">
        <is>
          <t>Shubham Kalra</t>
        </is>
      </c>
      <c r="B94" s="9" t="inlineStr">
        <is>
          <t>Lender / Bank</t>
        </is>
      </c>
      <c r="C94" s="4" t="inlineStr">
        <is>
          <t>OakNorth</t>
        </is>
      </c>
      <c r="D94" s="4" t="inlineStr">
        <is>
          <t>Deputy Vice President</t>
        </is>
      </c>
      <c r="E94" s="4" t="inlineStr">
        <is>
          <t>shubham.kalra@oaknorth.co.uk</t>
        </is>
      </c>
      <c r="F94" s="4" t="inlineStr">
        <is>
          <t>+91-7206717001</t>
        </is>
      </c>
      <c r="G94" s="6" t="inlineStr">
        <is>
          <t>2025-05-06</t>
        </is>
      </c>
      <c r="H94" s="6" t="inlineStr">
        <is>
          <t>2026-03-26</t>
        </is>
      </c>
      <c r="I94" s="6" t="n">
        <v>17</v>
      </c>
      <c r="J94" s="6" t="n">
        <v>0</v>
      </c>
      <c r="K94" s="4" t="inlineStr">
        <is>
          <t>Direct correspondence</t>
        </is>
      </c>
      <c r="L94" s="8" t="inlineStr">
        <is>
          <t>REL GMP information requests and the Oryx 2 Real Estate redemption</t>
        </is>
      </c>
    </row>
    <row r="95">
      <c r="A95" s="4" t="inlineStr">
        <is>
          <t>Vivek Jaiswal</t>
        </is>
      </c>
      <c r="B95" s="9" t="inlineStr">
        <is>
          <t>Lender / Bank</t>
        </is>
      </c>
      <c r="C95" s="4" t="inlineStr">
        <is>
          <t>OakNorth</t>
        </is>
      </c>
      <c r="D95" s="4" t="inlineStr">
        <is>
          <t>Senior Associate</t>
        </is>
      </c>
      <c r="E95" s="4" t="inlineStr">
        <is>
          <t>vivek.jaiswal@oaknorth.co.uk</t>
        </is>
      </c>
      <c r="F95" s="4" t="inlineStr">
        <is>
          <t>+91-9044471739, +91 9044471739</t>
        </is>
      </c>
      <c r="G95" s="6" t="inlineStr">
        <is>
          <t>2026-01-27</t>
        </is>
      </c>
      <c r="H95" s="6" t="inlineStr">
        <is>
          <t>2026-07-28</t>
        </is>
      </c>
      <c r="I95" s="6" t="n">
        <v>43</v>
      </c>
      <c r="J95" s="6" t="n">
        <v>2</v>
      </c>
      <c r="K95" s="4" t="inlineStr">
        <is>
          <t>Direct correspondence</t>
        </is>
      </c>
      <c r="L95" s="8" t="inlineStr">
        <is>
          <t>Portfolio monitoring on ESSL - M&amp;S reports, reservations, bank statements</t>
        </is>
      </c>
    </row>
    <row r="96">
      <c r="A96" s="4" t="inlineStr">
        <is>
          <t>Alisha Pandey</t>
        </is>
      </c>
      <c r="B96" s="9" t="inlineStr">
        <is>
          <t>Lender / Bank</t>
        </is>
      </c>
      <c r="C96" s="4" t="inlineStr">
        <is>
          <t>OakNorth Bank</t>
        </is>
      </c>
      <c r="D96" s="4" t="inlineStr"/>
      <c r="E96" s="4" t="inlineStr">
        <is>
          <t>alisha.pandey@oaknorth.co.uk</t>
        </is>
      </c>
      <c r="F96" s="4" t="inlineStr"/>
      <c r="G96" s="6" t="inlineStr">
        <is>
          <t>2026-06-26</t>
        </is>
      </c>
      <c r="H96" s="6" t="inlineStr">
        <is>
          <t>2026-07-15</t>
        </is>
      </c>
      <c r="I96" s="6" t="n">
        <v>0</v>
      </c>
      <c r="J96" s="6" t="n">
        <v>0</v>
      </c>
      <c r="K96" s="7" t="inlineStr">
        <is>
          <t>Named in a thread</t>
        </is>
      </c>
      <c r="L96" s="8" t="inlineStr"/>
    </row>
    <row r="97">
      <c r="A97" s="4" t="inlineStr">
        <is>
          <t>Azayr Raja</t>
        </is>
      </c>
      <c r="B97" s="9" t="inlineStr">
        <is>
          <t>Lender / Bank</t>
        </is>
      </c>
      <c r="C97" s="4" t="inlineStr">
        <is>
          <t>OakNorth Bank</t>
        </is>
      </c>
      <c r="D97" s="4" t="inlineStr"/>
      <c r="E97" s="4" t="inlineStr">
        <is>
          <t>azayr.raja@oaknorth.co.uk</t>
        </is>
      </c>
      <c r="F97" s="4" t="inlineStr"/>
      <c r="G97" s="6" t="inlineStr">
        <is>
          <t>2026-02-23</t>
        </is>
      </c>
      <c r="H97" s="6" t="inlineStr">
        <is>
          <t>2026-02-25</t>
        </is>
      </c>
      <c r="I97" s="6" t="n">
        <v>0</v>
      </c>
      <c r="J97" s="6" t="n">
        <v>0</v>
      </c>
      <c r="K97" s="7" t="inlineStr">
        <is>
          <t>Named in a thread</t>
        </is>
      </c>
      <c r="L97" s="8" t="inlineStr">
        <is>
          <t>Copied on the OakNorth deal team for the St Clements final valuation</t>
        </is>
      </c>
    </row>
    <row r="98">
      <c r="A98" s="4" t="inlineStr">
        <is>
          <t>Chloe Skae</t>
        </is>
      </c>
      <c r="B98" s="9" t="inlineStr">
        <is>
          <t>Lender / Bank</t>
        </is>
      </c>
      <c r="C98" s="4" t="inlineStr">
        <is>
          <t>OakNorth Bank</t>
        </is>
      </c>
      <c r="D98" s="4" t="inlineStr">
        <is>
          <t>Director, Portfolio Management</t>
        </is>
      </c>
      <c r="E98" s="4" t="inlineStr">
        <is>
          <t>chloe.skae@oaknorth.co.uk</t>
        </is>
      </c>
      <c r="F98" s="4" t="inlineStr">
        <is>
          <t>07858823534</t>
        </is>
      </c>
      <c r="G98" s="6" t="inlineStr">
        <is>
          <t>2026-06-09</t>
        </is>
      </c>
      <c r="H98" s="6" t="inlineStr">
        <is>
          <t>2026-07-15</t>
        </is>
      </c>
      <c r="I98" s="6" t="n">
        <v>4</v>
      </c>
      <c r="J98" s="6" t="n">
        <v>0</v>
      </c>
      <c r="K98" s="4" t="inlineStr">
        <is>
          <t>Direct correspondence</t>
        </is>
      </c>
      <c r="L98" s="8" t="inlineStr">
        <is>
          <t>OakNorth portfolio manager on the Charte Forte (Monument) Limited facility</t>
        </is>
      </c>
    </row>
    <row r="99">
      <c r="A99" s="4" t="inlineStr">
        <is>
          <t>Felix Price</t>
        </is>
      </c>
      <c r="B99" s="9" t="inlineStr">
        <is>
          <t>Lender / Bank</t>
        </is>
      </c>
      <c r="C99" s="4" t="inlineStr">
        <is>
          <t>OakNorth Bank</t>
        </is>
      </c>
      <c r="D99" s="4" t="inlineStr">
        <is>
          <t>Senior Associate, Debt Finance</t>
        </is>
      </c>
      <c r="E99" s="4" t="inlineStr">
        <is>
          <t>felix.price@oaknorth.co.uk</t>
        </is>
      </c>
      <c r="F99" s="4" t="inlineStr">
        <is>
          <t>07725474291</t>
        </is>
      </c>
      <c r="G99" s="6" t="inlineStr">
        <is>
          <t>2026-02-10</t>
        </is>
      </c>
      <c r="H99" s="6" t="inlineStr">
        <is>
          <t>2026-07-21</t>
        </is>
      </c>
      <c r="I99" s="6" t="n">
        <v>3</v>
      </c>
      <c r="J99" s="6" t="n">
        <v>0</v>
      </c>
      <c r="K99" s="4" t="inlineStr">
        <is>
          <t>Direct correspondence</t>
        </is>
      </c>
      <c r="L99" s="8" t="inlineStr">
        <is>
          <t>Runs OakNorth pricing and fees on St Clements Lane and Peninsular House, where ON sits senior to REL</t>
        </is>
      </c>
    </row>
    <row r="100">
      <c r="A100" s="4" t="inlineStr">
        <is>
          <t>Kamakshi Kumar</t>
        </is>
      </c>
      <c r="B100" s="9" t="inlineStr">
        <is>
          <t>Lender / Bank</t>
        </is>
      </c>
      <c r="C100" s="4" t="inlineStr">
        <is>
          <t>OakNorth Bank</t>
        </is>
      </c>
      <c r="D100" s="4" t="inlineStr"/>
      <c r="E100" s="4" t="inlineStr">
        <is>
          <t>kamakshi.kumar@oaknorth.co.uk</t>
        </is>
      </c>
      <c r="F100" s="4" t="inlineStr"/>
      <c r="G100" s="6" t="inlineStr">
        <is>
          <t>2026-03-06</t>
        </is>
      </c>
      <c r="H100" s="6" t="inlineStr">
        <is>
          <t>2026-03-26</t>
        </is>
      </c>
      <c r="I100" s="6" t="n">
        <v>0</v>
      </c>
      <c r="J100" s="6" t="n">
        <v>0</v>
      </c>
      <c r="K100" s="7" t="inlineStr">
        <is>
          <t>Named in a thread</t>
        </is>
      </c>
      <c r="L100" s="8" t="inlineStr">
        <is>
          <t>Copied on the Oryx 2 Real Estate REL/ON redemption</t>
        </is>
      </c>
    </row>
    <row r="101">
      <c r="A101" s="4" t="inlineStr">
        <is>
          <t>Mandy Sanaghan</t>
        </is>
      </c>
      <c r="B101" s="9" t="inlineStr">
        <is>
          <t>Lender / Bank</t>
        </is>
      </c>
      <c r="C101" s="4" t="inlineStr">
        <is>
          <t>OakNorth Bank</t>
        </is>
      </c>
      <c r="D101" s="4" t="inlineStr"/>
      <c r="E101" s="4" t="inlineStr">
        <is>
          <t>mandy.sanaghan@oaknorth.co.uk</t>
        </is>
      </c>
      <c r="F101" s="4" t="inlineStr"/>
      <c r="G101" s="6" t="inlineStr">
        <is>
          <t>2026-02-25</t>
        </is>
      </c>
      <c r="H101" s="6" t="inlineStr">
        <is>
          <t>2026-03-26</t>
        </is>
      </c>
      <c r="I101" s="6" t="n">
        <v>0</v>
      </c>
      <c r="J101" s="6" t="n">
        <v>0</v>
      </c>
      <c r="K101" s="7" t="inlineStr">
        <is>
          <t>Named in a thread</t>
        </is>
      </c>
      <c r="L101" s="8" t="inlineStr">
        <is>
          <t>Copied on the Oryx 2 Real Estate REL/ON redemption</t>
        </is>
      </c>
    </row>
    <row r="102">
      <c r="A102" s="4" t="inlineStr">
        <is>
          <t>Matteo Fuschillo</t>
        </is>
      </c>
      <c r="B102" s="9" t="inlineStr">
        <is>
          <t>Lender / Bank</t>
        </is>
      </c>
      <c r="C102" s="4" t="inlineStr">
        <is>
          <t>OakNorth Bank</t>
        </is>
      </c>
      <c r="D102" s="4" t="inlineStr"/>
      <c r="E102" s="4" t="inlineStr">
        <is>
          <t>matteo.fuschillo@oaknorth.co.uk</t>
        </is>
      </c>
      <c r="F102" s="4" t="inlineStr"/>
      <c r="G102" s="6" t="inlineStr">
        <is>
          <t>2026-02-23</t>
        </is>
      </c>
      <c r="H102" s="6" t="inlineStr">
        <is>
          <t>2026-02-25</t>
        </is>
      </c>
      <c r="I102" s="6" t="n">
        <v>1</v>
      </c>
      <c r="J102" s="6" t="n">
        <v>0</v>
      </c>
      <c r="K102" s="4" t="inlineStr">
        <is>
          <t>Direct correspondence</t>
        </is>
      </c>
      <c r="L102" s="8" t="inlineStr">
        <is>
          <t>On the OakNorth deal team for the St Clements final valuation</t>
        </is>
      </c>
    </row>
    <row r="103">
      <c r="A103" s="4" t="inlineStr">
        <is>
          <t>Mayank Gupta</t>
        </is>
      </c>
      <c r="B103" s="9" t="inlineStr">
        <is>
          <t>Lender / Bank</t>
        </is>
      </c>
      <c r="C103" s="4" t="inlineStr">
        <is>
          <t>OakNorth Bank</t>
        </is>
      </c>
      <c r="D103" s="4" t="inlineStr">
        <is>
          <t>Associate Director</t>
        </is>
      </c>
      <c r="E103" s="4" t="inlineStr">
        <is>
          <t>mayank.gupta1@oaknorth.co.uk</t>
        </is>
      </c>
      <c r="F103" s="4" t="inlineStr">
        <is>
          <t>+91-9818434109</t>
        </is>
      </c>
      <c r="G103" s="6" t="inlineStr">
        <is>
          <t>2026-02-25</t>
        </is>
      </c>
      <c r="H103" s="6" t="inlineStr">
        <is>
          <t>2026-03-26</t>
        </is>
      </c>
      <c r="I103" s="6" t="n">
        <v>1</v>
      </c>
      <c r="J103" s="6" t="n">
        <v>0</v>
      </c>
      <c r="K103" s="4" t="inlineStr">
        <is>
          <t>Direct correspondence</t>
        </is>
      </c>
      <c r="L103" s="8" t="inlineStr">
        <is>
          <t>OakNorth side of the Oryx 2 Real Estate REL/ON redemption</t>
        </is>
      </c>
    </row>
    <row r="104">
      <c r="A104" s="4" t="inlineStr">
        <is>
          <t>Mohit Malik</t>
        </is>
      </c>
      <c r="B104" s="9" t="inlineStr">
        <is>
          <t>Lender / Bank</t>
        </is>
      </c>
      <c r="C104" s="4" t="inlineStr">
        <is>
          <t>OakNorth Bank</t>
        </is>
      </c>
      <c r="D104" s="4" t="inlineStr"/>
      <c r="E104" s="4" t="inlineStr">
        <is>
          <t>mohit.malik@oaknorth.co.uk</t>
        </is>
      </c>
      <c r="F104" s="4" t="inlineStr"/>
      <c r="G104" s="6" t="inlineStr">
        <is>
          <t>2026-03-23</t>
        </is>
      </c>
      <c r="H104" s="6" t="inlineStr">
        <is>
          <t>2026-03-26</t>
        </is>
      </c>
      <c r="I104" s="6" t="n">
        <v>1</v>
      </c>
      <c r="J104" s="6" t="n">
        <v>0</v>
      </c>
      <c r="K104" s="4" t="inlineStr">
        <is>
          <t>Direct correspondence</t>
        </is>
      </c>
      <c r="L104" s="8" t="inlineStr">
        <is>
          <t>OakNorth contact on the Oryx 2 Real Estate redemption</t>
        </is>
      </c>
    </row>
    <row r="105">
      <c r="A105" s="4" t="inlineStr">
        <is>
          <t>Neha Gupta</t>
        </is>
      </c>
      <c r="B105" s="9" t="inlineStr">
        <is>
          <t>Lender / Bank</t>
        </is>
      </c>
      <c r="C105" s="4" t="inlineStr">
        <is>
          <t>OakNorth Bank</t>
        </is>
      </c>
      <c r="D105" s="4" t="inlineStr"/>
      <c r="E105" s="4" t="inlineStr">
        <is>
          <t>neha.gupta@oaknorth.co.uk</t>
        </is>
      </c>
      <c r="F105" s="4" t="inlineStr"/>
      <c r="G105" s="6" t="inlineStr">
        <is>
          <t>2026-05-18</t>
        </is>
      </c>
      <c r="H105" s="6" t="inlineStr">
        <is>
          <t>2026-05-18</t>
        </is>
      </c>
      <c r="I105" s="6" t="n">
        <v>0</v>
      </c>
      <c r="J105" s="6" t="n">
        <v>0</v>
      </c>
      <c r="K105" s="7" t="inlineStr">
        <is>
          <t>Named in a thread</t>
        </is>
      </c>
      <c r="L105" s="8" t="inlineStr">
        <is>
          <t>Copied on the TCR valuation thread</t>
        </is>
      </c>
    </row>
    <row r="106">
      <c r="A106" s="4" t="inlineStr">
        <is>
          <t>Nishant Tyagi</t>
        </is>
      </c>
      <c r="B106" s="9" t="inlineStr">
        <is>
          <t>Lender / Bank</t>
        </is>
      </c>
      <c r="C106" s="4" t="inlineStr">
        <is>
          <t>OakNorth Bank</t>
        </is>
      </c>
      <c r="D106" s="4" t="inlineStr"/>
      <c r="E106" s="4" t="inlineStr">
        <is>
          <t>nishant.tyagi1@oaknorth.co.uk</t>
        </is>
      </c>
      <c r="F106" s="4" t="inlineStr"/>
      <c r="G106" s="6" t="inlineStr">
        <is>
          <t>2026-05-18</t>
        </is>
      </c>
      <c r="H106" s="6" t="inlineStr">
        <is>
          <t>2026-05-18</t>
        </is>
      </c>
      <c r="I106" s="6" t="n">
        <v>0</v>
      </c>
      <c r="J106" s="6" t="n">
        <v>0</v>
      </c>
      <c r="K106" s="7" t="inlineStr">
        <is>
          <t>Named in a thread</t>
        </is>
      </c>
      <c r="L106" s="8" t="inlineStr">
        <is>
          <t>Copied on the TCR valuation thread</t>
        </is>
      </c>
    </row>
    <row r="107">
      <c r="A107" s="4" t="inlineStr">
        <is>
          <t>OakNorth Portfolio Management</t>
        </is>
      </c>
      <c r="B107" s="9" t="inlineStr">
        <is>
          <t>Lender / Bank</t>
        </is>
      </c>
      <c r="C107" s="4" t="inlineStr">
        <is>
          <t>OakNorth Bank</t>
        </is>
      </c>
      <c r="D107" s="4" t="inlineStr"/>
      <c r="E107" s="4" t="inlineStr">
        <is>
          <t>portfoliomanagement@oaknorth.co.uk</t>
        </is>
      </c>
      <c r="F107" s="4" t="inlineStr"/>
      <c r="G107" s="6" t="inlineStr">
        <is>
          <t>2025-05-06</t>
        </is>
      </c>
      <c r="H107" s="6" t="inlineStr">
        <is>
          <t>2026-07-13</t>
        </is>
      </c>
      <c r="I107" s="6" t="n">
        <v>0</v>
      </c>
      <c r="J107" s="6" t="n">
        <v>0</v>
      </c>
      <c r="K107" s="7" t="inlineStr">
        <is>
          <t>Named in a thread</t>
        </is>
      </c>
      <c r="L107" s="8" t="inlineStr">
        <is>
          <t>OakNorth portfolio monitoring inbox — information requests on REL GMP and ESSL reporting</t>
        </is>
      </c>
    </row>
    <row r="108">
      <c r="A108" s="4" t="inlineStr">
        <is>
          <t>Priya Harley</t>
        </is>
      </c>
      <c r="B108" s="9" t="inlineStr">
        <is>
          <t>Lender / Bank</t>
        </is>
      </c>
      <c r="C108" s="4" t="inlineStr">
        <is>
          <t>OakNorth Bank</t>
        </is>
      </c>
      <c r="D108" s="4" t="inlineStr">
        <is>
          <t>Director, Debt Finance</t>
        </is>
      </c>
      <c r="E108" s="4" t="inlineStr">
        <is>
          <t>priya.chauhan@oaknorth.co.uk</t>
        </is>
      </c>
      <c r="F108" s="4" t="inlineStr">
        <is>
          <t>+447904310146, +44 7904 310146</t>
        </is>
      </c>
      <c r="G108" s="6" t="inlineStr">
        <is>
          <t>2025-09-26</t>
        </is>
      </c>
      <c r="H108" s="6" t="inlineStr">
        <is>
          <t>2026-07-24</t>
        </is>
      </c>
      <c r="I108" s="6" t="n">
        <v>4</v>
      </c>
      <c r="J108" s="6" t="n">
        <v>0</v>
      </c>
      <c r="K108" s="4" t="inlineStr">
        <is>
          <t>Direct correspondence</t>
        </is>
      </c>
      <c r="L108" s="8" t="inlineStr">
        <is>
          <t>OakNorth debt finance lead on Stanhope Gate, 57-60 Lincoln's Inn Fields and a regional office financing</t>
        </is>
      </c>
    </row>
    <row r="109">
      <c r="A109" s="4" t="inlineStr">
        <is>
          <t>Sam Van Der Burgh</t>
        </is>
      </c>
      <c r="B109" s="9" t="inlineStr">
        <is>
          <t>Lender / Bank</t>
        </is>
      </c>
      <c r="C109" s="4" t="inlineStr">
        <is>
          <t>OakNorth Bank</t>
        </is>
      </c>
      <c r="D109" s="4" t="inlineStr"/>
      <c r="E109" s="4" t="inlineStr">
        <is>
          <t>sam.vanderburgh@oaknorth.co.uk</t>
        </is>
      </c>
      <c r="F109" s="4" t="inlineStr"/>
      <c r="G109" s="6" t="inlineStr">
        <is>
          <t>2026-01-26</t>
        </is>
      </c>
      <c r="H109" s="6" t="inlineStr">
        <is>
          <t>2026-07-24</t>
        </is>
      </c>
      <c r="I109" s="6" t="n">
        <v>0</v>
      </c>
      <c r="J109" s="6" t="n">
        <v>0</v>
      </c>
      <c r="K109" s="7" t="inlineStr">
        <is>
          <t>Named in a thread</t>
        </is>
      </c>
      <c r="L109" s="8" t="inlineStr">
        <is>
          <t>OakNorth deal team on St Clements and 57-60 Lincoln's Inn Fields</t>
        </is>
      </c>
    </row>
    <row r="110">
      <c r="A110" s="4" t="inlineStr">
        <is>
          <t>Sarthak Mohari</t>
        </is>
      </c>
      <c r="B110" s="9" t="inlineStr">
        <is>
          <t>Lender / Bank</t>
        </is>
      </c>
      <c r="C110" s="4" t="inlineStr">
        <is>
          <t>OakNorth Bank</t>
        </is>
      </c>
      <c r="D110" s="4" t="inlineStr"/>
      <c r="E110" s="4" t="inlineStr">
        <is>
          <t>sarthak.mohari@oaknorth.co.uk</t>
        </is>
      </c>
      <c r="F110" s="4" t="inlineStr"/>
      <c r="G110" s="6" t="inlineStr">
        <is>
          <t>2026-06-15</t>
        </is>
      </c>
      <c r="H110" s="6" t="inlineStr">
        <is>
          <t>2026-07-24</t>
        </is>
      </c>
      <c r="I110" s="6" t="n">
        <v>0</v>
      </c>
      <c r="J110" s="6" t="n">
        <v>0</v>
      </c>
      <c r="K110" s="7" t="inlineStr">
        <is>
          <t>Named in a thread</t>
        </is>
      </c>
      <c r="L110" s="8" t="inlineStr">
        <is>
          <t>OakNorth contact on 57-60 Lincoln's Inn Fields</t>
        </is>
      </c>
    </row>
    <row r="111">
      <c r="A111" s="4" t="inlineStr">
        <is>
          <t>Shivani Mishra</t>
        </is>
      </c>
      <c r="B111" s="9" t="inlineStr">
        <is>
          <t>Lender / Bank</t>
        </is>
      </c>
      <c r="C111" s="4" t="inlineStr">
        <is>
          <t>OakNorth Bank</t>
        </is>
      </c>
      <c r="D111" s="4" t="inlineStr"/>
      <c r="E111" s="4" t="inlineStr">
        <is>
          <t>shivani.mishra@oaknorth.co.uk</t>
        </is>
      </c>
      <c r="F111" s="4" t="inlineStr"/>
      <c r="G111" s="6" t="inlineStr">
        <is>
          <t>2026-07-21</t>
        </is>
      </c>
      <c r="H111" s="6" t="inlineStr">
        <is>
          <t>2026-07-21</t>
        </is>
      </c>
      <c r="I111" s="6" t="n">
        <v>3</v>
      </c>
      <c r="J111" s="6" t="n">
        <v>0</v>
      </c>
      <c r="K111" s="4" t="inlineStr">
        <is>
          <t>Direct correspondence</t>
        </is>
      </c>
      <c r="L111" s="8" t="inlineStr">
        <is>
          <t>Organises OakNorth / REL relationship drinks and dinners</t>
        </is>
      </c>
    </row>
    <row r="112">
      <c r="A112" s="4" t="inlineStr">
        <is>
          <t>Sumant Srivastava</t>
        </is>
      </c>
      <c r="B112" s="9" t="inlineStr">
        <is>
          <t>Lender / Bank</t>
        </is>
      </c>
      <c r="C112" s="4" t="inlineStr">
        <is>
          <t>OakNorth Bank</t>
        </is>
      </c>
      <c r="D112" s="4" t="inlineStr"/>
      <c r="E112" s="4" t="inlineStr">
        <is>
          <t>sumant.srivastava@oaknorth.co.uk</t>
        </is>
      </c>
      <c r="F112" s="4" t="inlineStr"/>
      <c r="G112" s="6" t="inlineStr">
        <is>
          <t>2026-07-07</t>
        </is>
      </c>
      <c r="H112" s="6" t="inlineStr">
        <is>
          <t>2026-07-15</t>
        </is>
      </c>
      <c r="I112" s="6" t="n">
        <v>0</v>
      </c>
      <c r="J112" s="6" t="n">
        <v>0</v>
      </c>
      <c r="K112" s="7" t="inlineStr">
        <is>
          <t>Named in a thread</t>
        </is>
      </c>
      <c r="L112" s="8" t="inlineStr"/>
    </row>
    <row r="113">
      <c r="A113" s="4" t="inlineStr">
        <is>
          <t>Vishal Tulsyan</t>
        </is>
      </c>
      <c r="B113" s="9" t="inlineStr">
        <is>
          <t>Lender / Bank</t>
        </is>
      </c>
      <c r="C113" s="4" t="inlineStr">
        <is>
          <t>OakNorth Bank</t>
        </is>
      </c>
      <c r="D113" s="4" t="inlineStr"/>
      <c r="E113" s="4" t="inlineStr">
        <is>
          <t>vishal.tulsyan@oaknorth.co.uk</t>
        </is>
      </c>
      <c r="F113" s="4" t="inlineStr"/>
      <c r="G113" s="6" t="inlineStr">
        <is>
          <t>2026-06-23</t>
        </is>
      </c>
      <c r="H113" s="6" t="inlineStr">
        <is>
          <t>2026-06-23</t>
        </is>
      </c>
      <c r="I113" s="6" t="n">
        <v>1</v>
      </c>
      <c r="J113" s="6" t="n">
        <v>0</v>
      </c>
      <c r="K113" s="4" t="inlineStr">
        <is>
          <t>Direct correspondence</t>
        </is>
      </c>
      <c r="L113" s="8" t="inlineStr">
        <is>
          <t>OakNorth contact on Charte Forte (Monument) Limited</t>
        </is>
      </c>
    </row>
    <row r="114">
      <c r="A114" s="4" t="inlineStr">
        <is>
          <t>Chantelle Parish</t>
        </is>
      </c>
      <c r="B114" s="10" t="inlineStr">
        <is>
          <t>Borrower / Sponsor</t>
        </is>
      </c>
      <c r="C114" s="4" t="inlineStr">
        <is>
          <t>Audley Group</t>
        </is>
      </c>
      <c r="D114" s="4" t="inlineStr"/>
      <c r="E114" s="4" t="inlineStr">
        <is>
          <t>chantelle.parish@audleygroup.com</t>
        </is>
      </c>
      <c r="F114" s="4" t="inlineStr"/>
      <c r="G114" s="6" t="inlineStr">
        <is>
          <t>2026-02-11</t>
        </is>
      </c>
      <c r="H114" s="6" t="inlineStr">
        <is>
          <t>2026-02-11</t>
        </is>
      </c>
      <c r="I114" s="6" t="n">
        <v>0</v>
      </c>
      <c r="J114" s="6" t="n">
        <v>0</v>
      </c>
      <c r="K114" s="7" t="inlineStr">
        <is>
          <t>Named in a thread</t>
        </is>
      </c>
      <c r="L114" s="8" t="inlineStr">
        <is>
          <t>Audley side contact on the Stanmore MI reporting template</t>
        </is>
      </c>
    </row>
    <row r="115">
      <c r="A115" s="4" t="inlineStr">
        <is>
          <t>Omer Weinberger</t>
        </is>
      </c>
      <c r="B115" s="10" t="inlineStr">
        <is>
          <t>Borrower / Sponsor</t>
        </is>
      </c>
      <c r="C115" s="4" t="inlineStr">
        <is>
          <t>Avanton</t>
        </is>
      </c>
      <c r="D115" s="4" t="inlineStr"/>
      <c r="E115" s="4" t="inlineStr">
        <is>
          <t>omer@avanton.co.uk</t>
        </is>
      </c>
      <c r="F115" s="4" t="inlineStr"/>
      <c r="G115" s="6" t="inlineStr">
        <is>
          <t>2025-02-07</t>
        </is>
      </c>
      <c r="H115" s="6" t="inlineStr">
        <is>
          <t>2025-02-11</t>
        </is>
      </c>
      <c r="I115" s="6" t="n">
        <v>0</v>
      </c>
      <c r="J115" s="6" t="n">
        <v>0</v>
      </c>
      <c r="K115" s="7" t="inlineStr">
        <is>
          <t>Named in a thread</t>
        </is>
      </c>
      <c r="L115" s="8" t="inlineStr">
        <is>
          <t>Sponsor side on Steel Works, Culvert Court, Battersea</t>
        </is>
      </c>
    </row>
    <row r="116">
      <c r="A116" s="4" t="inlineStr">
        <is>
          <t>Reis Usmani</t>
        </is>
      </c>
      <c r="B116" s="10" t="inlineStr">
        <is>
          <t>Borrower / Sponsor</t>
        </is>
      </c>
      <c r="C116" s="4" t="inlineStr">
        <is>
          <t>Avanton</t>
        </is>
      </c>
      <c r="D116" s="4" t="inlineStr"/>
      <c r="E116" s="4" t="inlineStr">
        <is>
          <t>reis@avanton.co.uk</t>
        </is>
      </c>
      <c r="F116" s="4" t="inlineStr"/>
      <c r="G116" s="6" t="inlineStr">
        <is>
          <t>2025-02-07</t>
        </is>
      </c>
      <c r="H116" s="6" t="inlineStr">
        <is>
          <t>2025-02-11</t>
        </is>
      </c>
      <c r="I116" s="6" t="n">
        <v>1</v>
      </c>
      <c r="J116" s="6" t="n">
        <v>0</v>
      </c>
      <c r="K116" s="4" t="inlineStr">
        <is>
          <t>Direct correspondence</t>
        </is>
      </c>
      <c r="L116" s="8" t="inlineStr">
        <is>
          <t>Sponsor side on Steel Works, Culvert Court, Battersea</t>
        </is>
      </c>
    </row>
    <row r="117">
      <c r="A117" s="4" t="inlineStr">
        <is>
          <t>Romain Palpacuer</t>
        </is>
      </c>
      <c r="B117" s="10" t="inlineStr">
        <is>
          <t>Borrower / Sponsor</t>
        </is>
      </c>
      <c r="C117" s="4" t="inlineStr">
        <is>
          <t>Avanton</t>
        </is>
      </c>
      <c r="D117" s="4" t="inlineStr"/>
      <c r="E117" s="4" t="inlineStr">
        <is>
          <t>romain@avanton.co.uk</t>
        </is>
      </c>
      <c r="F117" s="4" t="inlineStr"/>
      <c r="G117" s="6" t="inlineStr">
        <is>
          <t>2025-02-07</t>
        </is>
      </c>
      <c r="H117" s="6" t="inlineStr">
        <is>
          <t>2025-02-11</t>
        </is>
      </c>
      <c r="I117" s="6" t="n">
        <v>0</v>
      </c>
      <c r="J117" s="6" t="n">
        <v>0</v>
      </c>
      <c r="K117" s="7" t="inlineStr">
        <is>
          <t>Named in a thread</t>
        </is>
      </c>
      <c r="L117" s="8" t="inlineStr">
        <is>
          <t>Sponsor side on Steel Works, Culvert Court, Battersea</t>
        </is>
      </c>
    </row>
    <row r="118">
      <c r="A118" s="4" t="inlineStr">
        <is>
          <t>Mahir Vachani</t>
        </is>
      </c>
      <c r="B118" s="10" t="inlineStr">
        <is>
          <t>Borrower / Sponsor</t>
        </is>
      </c>
      <c r="C118" s="4" t="inlineStr">
        <is>
          <t>BPS London</t>
        </is>
      </c>
      <c r="D118" s="4" t="inlineStr">
        <is>
          <t>Director</t>
        </is>
      </c>
      <c r="E118" s="4" t="inlineStr">
        <is>
          <t>mahir@bps.london</t>
        </is>
      </c>
      <c r="F118" s="4" t="inlineStr">
        <is>
          <t>0207 831 1191, 07788 895 205</t>
        </is>
      </c>
      <c r="G118" s="6" t="inlineStr">
        <is>
          <t>2026-04-14</t>
        </is>
      </c>
      <c r="H118" s="6" t="inlineStr">
        <is>
          <t>2026-05-26</t>
        </is>
      </c>
      <c r="I118" s="6" t="n">
        <v>8</v>
      </c>
      <c r="J118" s="6" t="n">
        <v>0</v>
      </c>
      <c r="K118" s="4" t="inlineStr">
        <is>
          <t>Direct correspondence</t>
        </is>
      </c>
      <c r="L118" s="8" t="inlineStr">
        <is>
          <t>Sponsor side (with Purestone Capital) on 80-85 Tottenham Court Road mezzanine</t>
        </is>
      </c>
    </row>
    <row r="119">
      <c r="A119" s="4" t="inlineStr">
        <is>
          <t>Rohan Jhaveri</t>
        </is>
      </c>
      <c r="B119" s="10" t="inlineStr">
        <is>
          <t>Borrower / Sponsor</t>
        </is>
      </c>
      <c r="C119" s="4" t="inlineStr">
        <is>
          <t>BPS London</t>
        </is>
      </c>
      <c r="D119" s="4" t="inlineStr">
        <is>
          <t>Investment Director</t>
        </is>
      </c>
      <c r="E119" s="4" t="inlineStr">
        <is>
          <t>rohan@bps.london</t>
        </is>
      </c>
      <c r="F119" s="4" t="inlineStr">
        <is>
          <t>0207 831 1191, 07388 816 368</t>
        </is>
      </c>
      <c r="G119" s="6" t="inlineStr">
        <is>
          <t>2026-04-14</t>
        </is>
      </c>
      <c r="H119" s="6" t="inlineStr">
        <is>
          <t>2026-05-26</t>
        </is>
      </c>
      <c r="I119" s="6" t="n">
        <v>1</v>
      </c>
      <c r="J119" s="6" t="n">
        <v>0</v>
      </c>
      <c r="K119" s="4" t="inlineStr">
        <is>
          <t>Direct correspondence</t>
        </is>
      </c>
      <c r="L119" s="8" t="inlineStr">
        <is>
          <t>Sponsor side on 80-85 Tottenham Court Road bridge/mezz terms</t>
        </is>
      </c>
    </row>
    <row r="120">
      <c r="A120" s="4" t="inlineStr">
        <is>
          <t>Alex Randall</t>
        </is>
      </c>
      <c r="B120" s="10" t="inlineStr">
        <is>
          <t>Borrower / Sponsor</t>
        </is>
      </c>
      <c r="C120" s="4" t="inlineStr">
        <is>
          <t>Brotherton Real Estate</t>
        </is>
      </c>
      <c r="D120" s="4" t="inlineStr"/>
      <c r="E120" s="4" t="inlineStr">
        <is>
          <t>a.randall@brothertonre.com</t>
        </is>
      </c>
      <c r="F120" s="4" t="inlineStr"/>
      <c r="G120" s="6" t="inlineStr">
        <is>
          <t>2025-06-03</t>
        </is>
      </c>
      <c r="H120" s="6" t="inlineStr">
        <is>
          <t>2025-06-03</t>
        </is>
      </c>
      <c r="I120" s="6" t="n">
        <v>0</v>
      </c>
      <c r="J120" s="6" t="n">
        <v>0</v>
      </c>
      <c r="K120" s="7" t="inlineStr">
        <is>
          <t>Named in a thread</t>
        </is>
      </c>
      <c r="L120" s="8" t="inlineStr">
        <is>
          <t>Brotherton side on the University Arms, Cambridge refinance</t>
        </is>
      </c>
    </row>
    <row r="121">
      <c r="A121" s="4" t="inlineStr">
        <is>
          <t>Banner Sanders</t>
        </is>
      </c>
      <c r="B121" s="10" t="inlineStr">
        <is>
          <t>Borrower / Sponsor</t>
        </is>
      </c>
      <c r="C121" s="4" t="inlineStr">
        <is>
          <t>Brotherton Real Estate</t>
        </is>
      </c>
      <c r="D121" s="4" t="inlineStr"/>
      <c r="E121" s="4" t="inlineStr">
        <is>
          <t>b.sanders@brothertonre.com</t>
        </is>
      </c>
      <c r="F121" s="4" t="inlineStr"/>
      <c r="G121" s="6" t="inlineStr">
        <is>
          <t>2026-03-09</t>
        </is>
      </c>
      <c r="H121" s="6" t="inlineStr">
        <is>
          <t>2026-03-09</t>
        </is>
      </c>
      <c r="I121" s="6" t="n">
        <v>0</v>
      </c>
      <c r="J121" s="6" t="n">
        <v>0</v>
      </c>
      <c r="K121" s="7" t="inlineStr">
        <is>
          <t>Named in a thread</t>
        </is>
      </c>
      <c r="L121" s="8" t="inlineStr">
        <is>
          <t>Brotherton side on the Princess Yachts industrial portfolio mezzanine</t>
        </is>
      </c>
    </row>
    <row r="122">
      <c r="A122" s="4" t="inlineStr">
        <is>
          <t>Dan Uzan</t>
        </is>
      </c>
      <c r="B122" s="10" t="inlineStr">
        <is>
          <t>Borrower / Sponsor</t>
        </is>
      </c>
      <c r="C122" s="4" t="inlineStr">
        <is>
          <t>Brotherton Real Estate</t>
        </is>
      </c>
      <c r="D122" s="4" t="inlineStr"/>
      <c r="E122" s="4" t="inlineStr">
        <is>
          <t>d.uzan@brothertonre.com</t>
        </is>
      </c>
      <c r="F122" s="4" t="inlineStr"/>
      <c r="G122" s="6" t="inlineStr">
        <is>
          <t>2025-06-03</t>
        </is>
      </c>
      <c r="H122" s="6" t="inlineStr">
        <is>
          <t>2026-04-21</t>
        </is>
      </c>
      <c r="I122" s="6" t="n">
        <v>0</v>
      </c>
      <c r="J122" s="6" t="n">
        <v>0</v>
      </c>
      <c r="K122" s="7" t="inlineStr">
        <is>
          <t>Named in a thread</t>
        </is>
      </c>
      <c r="L122" s="8" t="inlineStr">
        <is>
          <t>Across University Arms Cambridge, Princess Yachts mezzanine and the Ellesmere JLR bridge</t>
        </is>
      </c>
    </row>
    <row r="123">
      <c r="A123" s="4" t="inlineStr">
        <is>
          <t>Eduard Mantz</t>
        </is>
      </c>
      <c r="B123" s="10" t="inlineStr">
        <is>
          <t>Borrower / Sponsor</t>
        </is>
      </c>
      <c r="C123" s="4" t="inlineStr">
        <is>
          <t>Brotherton Real Estate</t>
        </is>
      </c>
      <c r="D123" s="4" t="inlineStr"/>
      <c r="E123" s="4" t="inlineStr">
        <is>
          <t>e.mantz@brothertonre.com</t>
        </is>
      </c>
      <c r="F123" s="4" t="inlineStr"/>
      <c r="G123" s="6" t="inlineStr">
        <is>
          <t>2026-03-09</t>
        </is>
      </c>
      <c r="H123" s="6" t="inlineStr">
        <is>
          <t>2026-03-09</t>
        </is>
      </c>
      <c r="I123" s="6" t="n">
        <v>0</v>
      </c>
      <c r="J123" s="6" t="n">
        <v>0</v>
      </c>
      <c r="K123" s="7" t="inlineStr">
        <is>
          <t>Named in a thread</t>
        </is>
      </c>
      <c r="L123" s="8" t="inlineStr">
        <is>
          <t>Brotherton side on the Princess Yachts industrial portfolio mezzanine</t>
        </is>
      </c>
    </row>
    <row r="124">
      <c r="A124" s="4" t="inlineStr">
        <is>
          <t>G Tsitsis</t>
        </is>
      </c>
      <c r="B124" s="10" t="inlineStr">
        <is>
          <t>Borrower / Sponsor</t>
        </is>
      </c>
      <c r="C124" s="4" t="inlineStr">
        <is>
          <t>Brotherton Real Estate</t>
        </is>
      </c>
      <c r="D124" s="4" t="inlineStr"/>
      <c r="E124" s="4" t="inlineStr">
        <is>
          <t>g.tsitsis@brothertonre.com</t>
        </is>
      </c>
      <c r="F124" s="4" t="inlineStr"/>
      <c r="G124" s="6" t="inlineStr">
        <is>
          <t>2026-03-09</t>
        </is>
      </c>
      <c r="H124" s="6" t="inlineStr">
        <is>
          <t>2026-04-21</t>
        </is>
      </c>
      <c r="I124" s="6" t="n">
        <v>0</v>
      </c>
      <c r="J124" s="6" t="n">
        <v>0</v>
      </c>
      <c r="K124" s="7" t="inlineStr">
        <is>
          <t>Named in a thread</t>
        </is>
      </c>
      <c r="L124" s="8" t="inlineStr">
        <is>
          <t>On the Princess Yachts mezzanine and Ellesmere JLR bridge threads</t>
        </is>
      </c>
    </row>
    <row r="125">
      <c r="A125" s="4" t="inlineStr">
        <is>
          <t>M Wild</t>
        </is>
      </c>
      <c r="B125" s="10" t="inlineStr">
        <is>
          <t>Borrower / Sponsor</t>
        </is>
      </c>
      <c r="C125" s="4" t="inlineStr">
        <is>
          <t>Brotherton Real Estate</t>
        </is>
      </c>
      <c r="D125" s="4" t="inlineStr"/>
      <c r="E125" s="4" t="inlineStr">
        <is>
          <t>m.wild@brothertonre.com</t>
        </is>
      </c>
      <c r="F125" s="4" t="inlineStr"/>
      <c r="G125" s="6" t="inlineStr">
        <is>
          <t>2026-04-17</t>
        </is>
      </c>
      <c r="H125" s="6" t="inlineStr">
        <is>
          <t>2026-04-21</t>
        </is>
      </c>
      <c r="I125" s="6" t="n">
        <v>0</v>
      </c>
      <c r="J125" s="6" t="n">
        <v>0</v>
      </c>
      <c r="K125" s="7" t="inlineStr">
        <is>
          <t>Named in a thread</t>
        </is>
      </c>
      <c r="L125" s="8" t="inlineStr">
        <is>
          <t>On the Ellesmere JLR bridge thread</t>
        </is>
      </c>
    </row>
    <row r="126">
      <c r="A126" s="4" t="inlineStr">
        <is>
          <t>N Anderson</t>
        </is>
      </c>
      <c r="B126" s="10" t="inlineStr">
        <is>
          <t>Borrower / Sponsor</t>
        </is>
      </c>
      <c r="C126" s="4" t="inlineStr">
        <is>
          <t>Brotherton Real Estate</t>
        </is>
      </c>
      <c r="D126" s="4" t="inlineStr"/>
      <c r="E126" s="4" t="inlineStr">
        <is>
          <t>n.anderson@brothertonre.com</t>
        </is>
      </c>
      <c r="F126" s="4" t="inlineStr"/>
      <c r="G126" s="6" t="inlineStr">
        <is>
          <t>2026-03-09</t>
        </is>
      </c>
      <c r="H126" s="6" t="inlineStr">
        <is>
          <t>2026-03-09</t>
        </is>
      </c>
      <c r="I126" s="6" t="n">
        <v>0</v>
      </c>
      <c r="J126" s="6" t="n">
        <v>0</v>
      </c>
      <c r="K126" s="7" t="inlineStr">
        <is>
          <t>Named in a thread</t>
        </is>
      </c>
      <c r="L126" s="8" t="inlineStr">
        <is>
          <t>On the Princess Yachts industrial portfolio mezzanine thread</t>
        </is>
      </c>
    </row>
    <row r="127">
      <c r="A127" s="4" t="inlineStr">
        <is>
          <t>P Kennedy</t>
        </is>
      </c>
      <c r="B127" s="10" t="inlineStr">
        <is>
          <t>Borrower / Sponsor</t>
        </is>
      </c>
      <c r="C127" s="4" t="inlineStr">
        <is>
          <t>Brotherton Real Estate</t>
        </is>
      </c>
      <c r="D127" s="4" t="inlineStr"/>
      <c r="E127" s="4" t="inlineStr">
        <is>
          <t>p.kennedy@brothertonre.com</t>
        </is>
      </c>
      <c r="F127" s="4" t="inlineStr"/>
      <c r="G127" s="6" t="inlineStr">
        <is>
          <t>2026-03-09</t>
        </is>
      </c>
      <c r="H127" s="6" t="inlineStr">
        <is>
          <t>2026-03-09</t>
        </is>
      </c>
      <c r="I127" s="6" t="n">
        <v>0</v>
      </c>
      <c r="J127" s="6" t="n">
        <v>0</v>
      </c>
      <c r="K127" s="7" t="inlineStr">
        <is>
          <t>Named in a thread</t>
        </is>
      </c>
      <c r="L127" s="8" t="inlineStr">
        <is>
          <t>On the Princess Yachts industrial portfolio mezzanine thread</t>
        </is>
      </c>
    </row>
    <row r="128">
      <c r="A128" s="4" t="inlineStr">
        <is>
          <t>Richard Fine</t>
        </is>
      </c>
      <c r="B128" s="10" t="inlineStr">
        <is>
          <t>Borrower / Sponsor</t>
        </is>
      </c>
      <c r="C128" s="4" t="inlineStr">
        <is>
          <t>Brotherton Real Estate</t>
        </is>
      </c>
      <c r="D128" s="4" t="inlineStr"/>
      <c r="E128" s="4" t="inlineStr">
        <is>
          <t>r.fine@brothertonre.com</t>
        </is>
      </c>
      <c r="F128" s="4" t="inlineStr"/>
      <c r="G128" s="6" t="inlineStr">
        <is>
          <t>2025-06-03</t>
        </is>
      </c>
      <c r="H128" s="6" t="inlineStr">
        <is>
          <t>2026-04-21</t>
        </is>
      </c>
      <c r="I128" s="6" t="n">
        <v>0</v>
      </c>
      <c r="J128" s="6" t="n">
        <v>0</v>
      </c>
      <c r="K128" s="7" t="inlineStr">
        <is>
          <t>Named in a thread</t>
        </is>
      </c>
      <c r="L128" s="8" t="inlineStr">
        <is>
          <t>On the University Arms Cambridge refinance and Ellesmere JLR bridge</t>
        </is>
      </c>
    </row>
    <row r="129">
      <c r="A129" s="4" t="inlineStr">
        <is>
          <t>Robert Kleinman</t>
        </is>
      </c>
      <c r="B129" s="10" t="inlineStr">
        <is>
          <t>Borrower / Sponsor</t>
        </is>
      </c>
      <c r="C129" s="4" t="inlineStr">
        <is>
          <t>Brotherton Real Estate</t>
        </is>
      </c>
      <c r="D129" s="4" t="inlineStr"/>
      <c r="E129" s="4" t="inlineStr">
        <is>
          <t>r.kleinman@brothertonre.com</t>
        </is>
      </c>
      <c r="F129" s="4" t="inlineStr"/>
      <c r="G129" s="6" t="inlineStr">
        <is>
          <t>2025-06-03</t>
        </is>
      </c>
      <c r="H129" s="6" t="inlineStr">
        <is>
          <t>2025-06-03</t>
        </is>
      </c>
      <c r="I129" s="6" t="n">
        <v>0</v>
      </c>
      <c r="J129" s="6" t="n">
        <v>0</v>
      </c>
      <c r="K129" s="7" t="inlineStr">
        <is>
          <t>Named in a thread</t>
        </is>
      </c>
      <c r="L129" s="8" t="inlineStr">
        <is>
          <t>On the University Arms, Cambridge refinance</t>
        </is>
      </c>
    </row>
    <row r="130">
      <c r="A130" s="4" t="inlineStr">
        <is>
          <t>Matt</t>
        </is>
      </c>
      <c r="B130" s="10" t="inlineStr">
        <is>
          <t>Borrower / Sponsor</t>
        </is>
      </c>
      <c r="C130" s="4" t="inlineStr">
        <is>
          <t>Cresswick</t>
        </is>
      </c>
      <c r="D130" s="4" t="inlineStr"/>
      <c r="E130" s="4" t="inlineStr">
        <is>
          <t>matt@cresswick.co.uk</t>
        </is>
      </c>
      <c r="F130" s="4" t="inlineStr"/>
      <c r="G130" s="6" t="inlineStr">
        <is>
          <t>2026-06-24</t>
        </is>
      </c>
      <c r="H130" s="6" t="inlineStr">
        <is>
          <t>2026-07-01</t>
        </is>
      </c>
      <c r="I130" s="6" t="n">
        <v>0</v>
      </c>
      <c r="J130" s="6" t="n">
        <v>0</v>
      </c>
      <c r="K130" s="7" t="inlineStr">
        <is>
          <t>Named in a thread</t>
        </is>
      </c>
      <c r="L130" s="8" t="inlineStr">
        <is>
          <t>Cresswick sponsor side on the Dulwich acquisition being funded by REL and OakNorth via GLPG.</t>
        </is>
      </c>
    </row>
    <row r="131">
      <c r="A131" s="4" t="inlineStr">
        <is>
          <t>Nick</t>
        </is>
      </c>
      <c r="B131" s="10" t="inlineStr">
        <is>
          <t>Borrower / Sponsor</t>
        </is>
      </c>
      <c r="C131" s="4" t="inlineStr">
        <is>
          <t>Cresswick</t>
        </is>
      </c>
      <c r="D131" s="4" t="inlineStr"/>
      <c r="E131" s="4" t="inlineStr">
        <is>
          <t>nick@cresswick.co.uk</t>
        </is>
      </c>
      <c r="F131" s="4" t="inlineStr"/>
      <c r="G131" s="6" t="inlineStr">
        <is>
          <t>2026-06-24</t>
        </is>
      </c>
      <c r="H131" s="6" t="inlineStr">
        <is>
          <t>2026-07-17</t>
        </is>
      </c>
      <c r="I131" s="6" t="n">
        <v>0</v>
      </c>
      <c r="J131" s="6" t="n">
        <v>0</v>
      </c>
      <c r="K131" s="7" t="inlineStr">
        <is>
          <t>Named in a thread</t>
        </is>
      </c>
      <c r="L131" s="8" t="inlineStr">
        <is>
          <t>Cresswick principal on the Dulwich deal - fielded REL questions on the £18.5m purchase price and guarantors.</t>
        </is>
      </c>
    </row>
    <row r="132">
      <c r="A132" s="4" t="inlineStr">
        <is>
          <t>Amar Randhawa</t>
        </is>
      </c>
      <c r="B132" s="10" t="inlineStr">
        <is>
          <t>Borrower / Sponsor</t>
        </is>
      </c>
      <c r="C132" s="4" t="inlineStr">
        <is>
          <t>DNA Capital Partners</t>
        </is>
      </c>
      <c r="D132" s="4" t="inlineStr"/>
      <c r="E132" s="4" t="inlineStr">
        <is>
          <t>a.randhawa@dna-cp.com</t>
        </is>
      </c>
      <c r="F132" s="4" t="inlineStr"/>
      <c r="G132" s="6" t="inlineStr">
        <is>
          <t>2026-02-06</t>
        </is>
      </c>
      <c r="H132" s="6" t="inlineStr">
        <is>
          <t>2026-06-18</t>
        </is>
      </c>
      <c r="I132" s="6" t="n">
        <v>5</v>
      </c>
      <c r="J132" s="6" t="n">
        <v>0</v>
      </c>
      <c r="K132" s="4" t="inlineStr">
        <is>
          <t>Direct correspondence</t>
        </is>
      </c>
      <c r="L132" s="8" t="inlineStr">
        <is>
          <t>Sponsor contact on the DNA Uxbridge (Belmont Place) loan - extension, equity and redemption negotiations.</t>
        </is>
      </c>
    </row>
    <row r="133">
      <c r="A133" s="4" t="inlineStr">
        <is>
          <t>David Scheurl</t>
        </is>
      </c>
      <c r="B133" s="10" t="inlineStr">
        <is>
          <t>Borrower / Sponsor</t>
        </is>
      </c>
      <c r="C133" s="4" t="inlineStr">
        <is>
          <t>DNA Capital Partners</t>
        </is>
      </c>
      <c r="D133" s="4" t="inlineStr"/>
      <c r="E133" s="4" t="inlineStr">
        <is>
          <t>d.scheurl@dna-cp.com</t>
        </is>
      </c>
      <c r="F133" s="4" t="inlineStr"/>
      <c r="G133" s="6" t="inlineStr">
        <is>
          <t>2026-02-17</t>
        </is>
      </c>
      <c r="H133" s="6" t="inlineStr">
        <is>
          <t>2026-06-08</t>
        </is>
      </c>
      <c r="I133" s="6" t="n">
        <v>0</v>
      </c>
      <c r="J133" s="6" t="n">
        <v>0</v>
      </c>
      <c r="K133" s="7" t="inlineStr">
        <is>
          <t>Named in a thread</t>
        </is>
      </c>
      <c r="L133" s="8" t="inlineStr">
        <is>
          <t>DNA Capital Partners side of the Uxbridge loan monthly reporting and 31/07/26 maturity.</t>
        </is>
      </c>
    </row>
    <row r="134">
      <c r="A134" s="4" t="inlineStr">
        <is>
          <t>Alexander Larkins</t>
        </is>
      </c>
      <c r="B134" s="10" t="inlineStr">
        <is>
          <t>Borrower / Sponsor</t>
        </is>
      </c>
      <c r="C134" s="4" t="inlineStr">
        <is>
          <t>Elysian Residences</t>
        </is>
      </c>
      <c r="D134" s="4" t="inlineStr">
        <is>
          <t>Financial Accountant</t>
        </is>
      </c>
      <c r="E134" s="4" t="inlineStr">
        <is>
          <t>a.larkins@elysianresidences.com</t>
        </is>
      </c>
      <c r="F134" s="4" t="inlineStr">
        <is>
          <t>07771 144264</t>
        </is>
      </c>
      <c r="G134" s="6" t="inlineStr">
        <is>
          <t>2026-02-04</t>
        </is>
      </c>
      <c r="H134" s="6" t="inlineStr">
        <is>
          <t>2026-07-28</t>
        </is>
      </c>
      <c r="I134" s="6" t="n">
        <v>16</v>
      </c>
      <c r="J134" s="6" t="n">
        <v>3</v>
      </c>
      <c r="K134" s="4" t="inlineStr">
        <is>
          <t>Direct correspondence</t>
        </is>
      </c>
      <c r="L134" s="8" t="inlineStr">
        <is>
          <t>Main borrower-side reporting contact on the ESSL / Stanmore and The Landsby loans.</t>
        </is>
      </c>
    </row>
    <row r="135">
      <c r="A135" s="4" t="inlineStr">
        <is>
          <t>Ciara Eggenton</t>
        </is>
      </c>
      <c r="B135" s="10" t="inlineStr">
        <is>
          <t>Borrower / Sponsor</t>
        </is>
      </c>
      <c r="C135" s="4" t="inlineStr">
        <is>
          <t>Elysian Residences</t>
        </is>
      </c>
      <c r="D135" s="4" t="inlineStr">
        <is>
          <t>Conveyancing and Progressions Manager</t>
        </is>
      </c>
      <c r="E135" s="4" t="inlineStr">
        <is>
          <t>c.eggenton@elysianresidences.com</t>
        </is>
      </c>
      <c r="F135" s="4" t="inlineStr"/>
      <c r="G135" s="6" t="inlineStr">
        <is>
          <t>2026-02-11</t>
        </is>
      </c>
      <c r="H135" s="6" t="inlineStr">
        <is>
          <t>2026-02-18</t>
        </is>
      </c>
      <c r="I135" s="6" t="n">
        <v>0</v>
      </c>
      <c r="J135" s="6" t="n">
        <v>0</v>
      </c>
      <c r="K135" s="7" t="inlineStr">
        <is>
          <t>Named in a thread</t>
        </is>
      </c>
      <c r="L135" s="8" t="inlineStr">
        <is>
          <t>Handles ESSL reservations, completions and sales progression reporting to REL.</t>
        </is>
      </c>
    </row>
    <row r="136">
      <c r="A136" s="4" t="inlineStr">
        <is>
          <t>Ciara Eggenton</t>
        </is>
      </c>
      <c r="B136" s="10" t="inlineStr">
        <is>
          <t>Borrower / Sponsor</t>
        </is>
      </c>
      <c r="C136" s="4" t="inlineStr">
        <is>
          <t>Elysian Residences</t>
        </is>
      </c>
      <c r="D136" s="4" t="inlineStr">
        <is>
          <t>Conveyancing and Progressions Manager</t>
        </is>
      </c>
      <c r="E136" s="4" t="inlineStr">
        <is>
          <t>c.osullivan@elysianresidences.com</t>
        </is>
      </c>
      <c r="F136" s="4" t="inlineStr">
        <is>
          <t>020 8158 6454</t>
        </is>
      </c>
      <c r="G136" s="6" t="inlineStr">
        <is>
          <t>2026-02-04</t>
        </is>
      </c>
      <c r="H136" s="6" t="inlineStr">
        <is>
          <t>2026-02-10</t>
        </is>
      </c>
      <c r="I136" s="6" t="n">
        <v>1</v>
      </c>
      <c r="J136" s="6" t="n">
        <v>0</v>
      </c>
      <c r="K136" s="4" t="inlineStr">
        <is>
          <t>Direct correspondence</t>
        </is>
      </c>
      <c r="L136" s="8" t="inlineStr">
        <is>
          <t>Former address for Ciara Eggenton, now c.eggenton@elysianresidences.com.</t>
        </is>
      </c>
    </row>
    <row r="137">
      <c r="A137" s="4" t="inlineStr">
        <is>
          <t>Gavin Stein</t>
        </is>
      </c>
      <c r="B137" s="10" t="inlineStr">
        <is>
          <t>Borrower / Sponsor</t>
        </is>
      </c>
      <c r="C137" s="4" t="inlineStr">
        <is>
          <t>Elysian Residences</t>
        </is>
      </c>
      <c r="D137" s="4" t="inlineStr"/>
      <c r="E137" s="4" t="inlineStr">
        <is>
          <t>g.stein@elysianresidences.com</t>
        </is>
      </c>
      <c r="F137" s="4" t="inlineStr">
        <is>
          <t>+44 (0) 78 2460 4438</t>
        </is>
      </c>
      <c r="G137" s="6" t="inlineStr">
        <is>
          <t>2026-04-17</t>
        </is>
      </c>
      <c r="H137" s="6" t="inlineStr">
        <is>
          <t>2026-07-28</t>
        </is>
      </c>
      <c r="I137" s="6" t="n">
        <v>2</v>
      </c>
      <c r="J137" s="6" t="n">
        <v>0</v>
      </c>
      <c r="K137" s="4" t="inlineStr">
        <is>
          <t>Direct correspondence</t>
        </is>
      </c>
      <c r="L137" s="8" t="inlineStr">
        <is>
          <t>Senior Elysian contact on The Landsby / Stanmore LTV covenant breach discussions.</t>
        </is>
      </c>
    </row>
    <row r="138">
      <c r="A138" s="4" t="inlineStr">
        <is>
          <t>Giles Stevens</t>
        </is>
      </c>
      <c r="B138" s="10" t="inlineStr">
        <is>
          <t>Borrower / Sponsor</t>
        </is>
      </c>
      <c r="C138" s="4" t="inlineStr">
        <is>
          <t>Elysian Residences</t>
        </is>
      </c>
      <c r="D138" s="4" t="inlineStr">
        <is>
          <t>Director of Transactions</t>
        </is>
      </c>
      <c r="E138" s="4" t="inlineStr">
        <is>
          <t>g.stevens@elysianresidences.com</t>
        </is>
      </c>
      <c r="F138" s="4" t="inlineStr"/>
      <c r="G138" s="6" t="inlineStr">
        <is>
          <t>2026-04-23</t>
        </is>
      </c>
      <c r="H138" s="6" t="inlineStr">
        <is>
          <t>2026-07-28</t>
        </is>
      </c>
      <c r="I138" s="6" t="n">
        <v>7</v>
      </c>
      <c r="J138" s="6" t="n">
        <v>0</v>
      </c>
      <c r="K138" s="4" t="inlineStr">
        <is>
          <t>Direct correspondence</t>
        </is>
      </c>
      <c r="L138" s="8" t="inlineStr">
        <is>
          <t>Elysian transactions lead on The Landsby / Stanmore OakNorth-REL facility.</t>
        </is>
      </c>
    </row>
    <row r="139">
      <c r="A139" s="4" t="inlineStr">
        <is>
          <t>Paul Harries</t>
        </is>
      </c>
      <c r="B139" s="10" t="inlineStr">
        <is>
          <t>Borrower / Sponsor</t>
        </is>
      </c>
      <c r="C139" s="4" t="inlineStr">
        <is>
          <t>Elysian Residences</t>
        </is>
      </c>
      <c r="D139" s="4" t="inlineStr">
        <is>
          <t>Interim Finance Consultant</t>
        </is>
      </c>
      <c r="E139" s="4" t="inlineStr">
        <is>
          <t>p.harries@elysianresidences.com</t>
        </is>
      </c>
      <c r="F139" s="4" t="inlineStr">
        <is>
          <t>07764 510962</t>
        </is>
      </c>
      <c r="G139" s="6" t="inlineStr">
        <is>
          <t>2026-05-20</t>
        </is>
      </c>
      <c r="H139" s="6" t="inlineStr">
        <is>
          <t>2026-07-28</t>
        </is>
      </c>
      <c r="I139" s="6" t="n">
        <v>11</v>
      </c>
      <c r="J139" s="6" t="n">
        <v>0</v>
      </c>
      <c r="K139" s="4" t="inlineStr">
        <is>
          <t>Direct correspondence</t>
        </is>
      </c>
      <c r="L139" s="8" t="inlineStr">
        <is>
          <t>Leads Elysian's HSTAM1 loan-note tap to cure the Stanmore / Landsby LTV covenant breach.</t>
        </is>
      </c>
    </row>
    <row r="140">
      <c r="A140" s="4" t="inlineStr">
        <is>
          <t>S. Spencer</t>
        </is>
      </c>
      <c r="B140" s="10" t="inlineStr">
        <is>
          <t>Borrower / Sponsor</t>
        </is>
      </c>
      <c r="C140" s="4" t="inlineStr">
        <is>
          <t>Elysian Residences</t>
        </is>
      </c>
      <c r="D140" s="4" t="inlineStr"/>
      <c r="E140" s="4" t="inlineStr">
        <is>
          <t>s.spencer@elysianresidences.com</t>
        </is>
      </c>
      <c r="F140" s="4" t="inlineStr"/>
      <c r="G140" s="6" t="inlineStr">
        <is>
          <t>2026-02-09</t>
        </is>
      </c>
      <c r="H140" s="6" t="inlineStr">
        <is>
          <t>2026-02-11</t>
        </is>
      </c>
      <c r="I140" s="6" t="n">
        <v>0</v>
      </c>
      <c r="J140" s="6" t="n">
        <v>0</v>
      </c>
      <c r="K140" s="7" t="inlineStr">
        <is>
          <t>Named in a thread</t>
        </is>
      </c>
      <c r="L140" s="8" t="inlineStr">
        <is>
          <t>Elysian attendee on the Stanmore MI template discussions.</t>
        </is>
      </c>
    </row>
    <row r="141">
      <c r="A141" s="4" t="inlineStr">
        <is>
          <t>Scott Thornton</t>
        </is>
      </c>
      <c r="B141" s="10" t="inlineStr">
        <is>
          <t>Borrower / Sponsor</t>
        </is>
      </c>
      <c r="C141" s="4" t="inlineStr">
        <is>
          <t>Elysian Residences</t>
        </is>
      </c>
      <c r="D141" s="4" t="inlineStr"/>
      <c r="E141" s="4" t="inlineStr">
        <is>
          <t>s.thornton@elysianresidences.com</t>
        </is>
      </c>
      <c r="F141" s="4" t="inlineStr"/>
      <c r="G141" s="6" t="inlineStr">
        <is>
          <t>2026-02-04</t>
        </is>
      </c>
      <c r="H141" s="6" t="inlineStr">
        <is>
          <t>2026-06-18</t>
        </is>
      </c>
      <c r="I141" s="6" t="n">
        <v>1</v>
      </c>
      <c r="J141" s="6" t="n">
        <v>2</v>
      </c>
      <c r="K141" s="4" t="inlineStr">
        <is>
          <t>Direct correspondence</t>
        </is>
      </c>
      <c r="L141" s="8" t="inlineStr">
        <is>
          <t>Elysian contact on the enhanced MI template and Stanmore monitoring.</t>
        </is>
      </c>
    </row>
    <row r="142">
      <c r="A142" s="4" t="inlineStr">
        <is>
          <t>Pete Williams</t>
        </is>
      </c>
      <c r="B142" s="10" t="inlineStr">
        <is>
          <t>Borrower / Sponsor</t>
        </is>
      </c>
      <c r="C142" s="4" t="inlineStr">
        <is>
          <t>Empire Global</t>
        </is>
      </c>
      <c r="D142" s="4" t="inlineStr"/>
      <c r="E142" s="4" t="inlineStr">
        <is>
          <t>pete@empireglobal.co.uk</t>
        </is>
      </c>
      <c r="F142" s="4" t="inlineStr"/>
      <c r="G142" s="6" t="inlineStr">
        <is>
          <t>2025-06-03</t>
        </is>
      </c>
      <c r="H142" s="6" t="inlineStr">
        <is>
          <t>2025-06-03</t>
        </is>
      </c>
      <c r="I142" s="6" t="n">
        <v>0</v>
      </c>
      <c r="J142" s="6" t="n">
        <v>0</v>
      </c>
      <c r="K142" s="7" t="inlineStr">
        <is>
          <t>Named in a thread</t>
        </is>
      </c>
      <c r="L142" s="8" t="inlineStr">
        <is>
          <t>Supplied the Colonnade Hotel trading projections for a hotel financing.</t>
        </is>
      </c>
    </row>
    <row r="143">
      <c r="A143" s="4" t="inlineStr">
        <is>
          <t>Yash Hindocha</t>
        </is>
      </c>
      <c r="B143" s="10" t="inlineStr">
        <is>
          <t>Borrower / Sponsor</t>
        </is>
      </c>
      <c r="C143" s="4" t="inlineStr">
        <is>
          <t>Hindocha &amp; Co</t>
        </is>
      </c>
      <c r="D143" s="4" t="inlineStr">
        <is>
          <t>Chartered Accountant / principal contact for Anahi Properties Ltd</t>
        </is>
      </c>
      <c r="E143" s="4" t="inlineStr">
        <is>
          <t>yash@hindocha.co.uk</t>
        </is>
      </c>
      <c r="F143" s="4" t="inlineStr">
        <is>
          <t>020 8952 9591</t>
        </is>
      </c>
      <c r="G143" s="6" t="inlineStr">
        <is>
          <t>2026-07-07</t>
        </is>
      </c>
      <c r="H143" s="6" t="inlineStr">
        <is>
          <t>2026-07-20</t>
        </is>
      </c>
      <c r="I143" s="6" t="n">
        <v>2</v>
      </c>
      <c r="J143" s="6" t="n">
        <v>0</v>
      </c>
      <c r="K143" s="4" t="inlineStr">
        <is>
          <t>Direct correspondence</t>
        </is>
      </c>
      <c r="L143" s="8" t="inlineStr">
        <is>
          <t>Sponsor behind Anahi Properties / Ashray Holdings; took REL terms on Houndswood House (£950k gross) before funding it via family and friends. Runs Hindocha &amp; Co, chartered accountants in Edgware</t>
        </is>
      </c>
    </row>
    <row r="144">
      <c r="A144" s="4" t="inlineStr">
        <is>
          <t>Davina Desai</t>
        </is>
      </c>
      <c r="B144" s="10" t="inlineStr">
        <is>
          <t>Borrower / Sponsor</t>
        </is>
      </c>
      <c r="C144" s="4" t="inlineStr">
        <is>
          <t>IPCA Group</t>
        </is>
      </c>
      <c r="D144" s="4" t="inlineStr"/>
      <c r="E144" s="4" t="inlineStr">
        <is>
          <t>davina.desai@ipcagroup.com</t>
        </is>
      </c>
      <c r="F144" s="4" t="inlineStr"/>
      <c r="G144" s="6" t="inlineStr">
        <is>
          <t>2026-07-06</t>
        </is>
      </c>
      <c r="H144" s="6" t="inlineStr">
        <is>
          <t>2026-07-16</t>
        </is>
      </c>
      <c r="I144" s="6" t="n">
        <v>0</v>
      </c>
      <c r="J144" s="6" t="n">
        <v>0</v>
      </c>
      <c r="K144" s="7" t="inlineStr">
        <is>
          <t>Named in a thread</t>
        </is>
      </c>
      <c r="L144" s="8" t="inlineStr">
        <is>
          <t>IPCA Group contact alongside Jignesh Desai</t>
        </is>
      </c>
    </row>
    <row r="145">
      <c r="A145" s="4" t="inlineStr">
        <is>
          <t>Jignesh Desai</t>
        </is>
      </c>
      <c r="B145" s="10" t="inlineStr">
        <is>
          <t>Borrower / Sponsor</t>
        </is>
      </c>
      <c r="C145" s="4" t="inlineStr">
        <is>
          <t>IPCA Group</t>
        </is>
      </c>
      <c r="D145" s="4" t="inlineStr">
        <is>
          <t>Managing Director</t>
        </is>
      </c>
      <c r="E145" s="4" t="inlineStr">
        <is>
          <t>jignesh@ipcagroup.com</t>
        </is>
      </c>
      <c r="F145" s="4" t="inlineStr">
        <is>
          <t>+44 7887 712 463</t>
        </is>
      </c>
      <c r="G145" s="6" t="inlineStr">
        <is>
          <t>2026-07-06</t>
        </is>
      </c>
      <c r="H145" s="6" t="inlineStr">
        <is>
          <t>2026-07-16</t>
        </is>
      </c>
      <c r="I145" s="6" t="n">
        <v>7</v>
      </c>
      <c r="J145" s="6" t="n">
        <v>0</v>
      </c>
      <c r="K145" s="4" t="inlineStr">
        <is>
          <t>Direct correspondence</t>
        </is>
      </c>
      <c r="L145" s="8" t="inlineStr">
        <is>
          <t>Active finance discussion with REL including the Moove transaction</t>
        </is>
      </c>
    </row>
    <row r="146">
      <c r="A146" s="4" t="inlineStr">
        <is>
          <t>Preena Desai</t>
        </is>
      </c>
      <c r="B146" s="10" t="inlineStr">
        <is>
          <t>Borrower / Sponsor</t>
        </is>
      </c>
      <c r="C146" s="4" t="inlineStr">
        <is>
          <t>IPCA Group</t>
        </is>
      </c>
      <c r="D146" s="4" t="inlineStr"/>
      <c r="E146" s="4" t="inlineStr">
        <is>
          <t>preena.desai@ipcagroup.com</t>
        </is>
      </c>
      <c r="F146" s="4" t="inlineStr"/>
      <c r="G146" s="6" t="inlineStr">
        <is>
          <t>2026-07-06</t>
        </is>
      </c>
      <c r="H146" s="6" t="inlineStr">
        <is>
          <t>2026-07-16</t>
        </is>
      </c>
      <c r="I146" s="6" t="n">
        <v>0</v>
      </c>
      <c r="J146" s="6" t="n">
        <v>0</v>
      </c>
      <c r="K146" s="7" t="inlineStr">
        <is>
          <t>Named in a thread</t>
        </is>
      </c>
      <c r="L146" s="8" t="inlineStr">
        <is>
          <t>IPCA Group contact alongside Jignesh Desai</t>
        </is>
      </c>
    </row>
    <row r="147">
      <c r="A147" s="4" t="inlineStr">
        <is>
          <t>Ajay Laxman</t>
        </is>
      </c>
      <c r="B147" s="10" t="inlineStr">
        <is>
          <t>Borrower / Sponsor</t>
        </is>
      </c>
      <c r="C147" s="4" t="inlineStr">
        <is>
          <t>JMK Group</t>
        </is>
      </c>
      <c r="D147" s="4" t="inlineStr"/>
      <c r="E147" s="4" t="inlineStr">
        <is>
          <t>ajaylaxman@jmk-group.co.uk</t>
        </is>
      </c>
      <c r="F147" s="4" t="inlineStr"/>
      <c r="G147" s="6" t="inlineStr">
        <is>
          <t>2026-07-15</t>
        </is>
      </c>
      <c r="H147" s="6" t="inlineStr">
        <is>
          <t>2026-07-15</t>
        </is>
      </c>
      <c r="I147" s="6" t="n">
        <v>0</v>
      </c>
      <c r="J147" s="6" t="n">
        <v>0</v>
      </c>
      <c r="K147" s="7" t="inlineStr">
        <is>
          <t>Named in a thread</t>
        </is>
      </c>
      <c r="L147" s="8" t="inlineStr"/>
    </row>
    <row r="148">
      <c r="A148" s="4" t="inlineStr">
        <is>
          <t>Harry Chapman</t>
        </is>
      </c>
      <c r="B148" s="10" t="inlineStr">
        <is>
          <t>Borrower / Sponsor</t>
        </is>
      </c>
      <c r="C148" s="4" t="inlineStr">
        <is>
          <t>Latium Group</t>
        </is>
      </c>
      <c r="D148" s="4" t="inlineStr"/>
      <c r="E148" s="4" t="inlineStr">
        <is>
          <t>harry.chapman@latium.co.uk</t>
        </is>
      </c>
      <c r="F148" s="4" t="inlineStr"/>
      <c r="G148" s="6" t="inlineStr">
        <is>
          <t>2026-04-10</t>
        </is>
      </c>
      <c r="H148" s="6" t="inlineStr">
        <is>
          <t>2026-04-10</t>
        </is>
      </c>
      <c r="I148" s="6" t="n">
        <v>0</v>
      </c>
      <c r="J148" s="6" t="n">
        <v>0</v>
      </c>
      <c r="K148" s="7" t="inlineStr">
        <is>
          <t>Named in a thread</t>
        </is>
      </c>
      <c r="L148" s="8" t="inlineStr">
        <is>
          <t>Latium's contact on the 22-24 Southwark Bridge Road bridge facility</t>
        </is>
      </c>
    </row>
    <row r="149">
      <c r="A149" s="4" t="inlineStr">
        <is>
          <t>Reis</t>
        </is>
      </c>
      <c r="B149" s="10" t="inlineStr">
        <is>
          <t>Borrower / Sponsor</t>
        </is>
      </c>
      <c r="C149" s="4" t="inlineStr">
        <is>
          <t>Lock Terrace</t>
        </is>
      </c>
      <c r="D149" s="4" t="inlineStr"/>
      <c r="E149" s="4" t="inlineStr">
        <is>
          <t>reis@lockterrace.com</t>
        </is>
      </c>
      <c r="F149" s="4" t="inlineStr"/>
      <c r="G149" s="6" t="inlineStr">
        <is>
          <t>2026-07-07</t>
        </is>
      </c>
      <c r="H149" s="6" t="inlineStr">
        <is>
          <t>2026-07-07</t>
        </is>
      </c>
      <c r="I149" s="6" t="n">
        <v>0</v>
      </c>
      <c r="J149" s="6" t="n">
        <v>0</v>
      </c>
      <c r="K149" s="7" t="inlineStr">
        <is>
          <t>Named in a thread</t>
        </is>
      </c>
      <c r="L149" s="8" t="inlineStr"/>
    </row>
    <row r="150">
      <c r="A150" s="4" t="inlineStr">
        <is>
          <t>Salman</t>
        </is>
      </c>
      <c r="B150" s="10" t="inlineStr">
        <is>
          <t>Borrower / Sponsor</t>
        </is>
      </c>
      <c r="C150" s="4" t="inlineStr">
        <is>
          <t>Lock Terrace</t>
        </is>
      </c>
      <c r="D150" s="4" t="inlineStr"/>
      <c r="E150" s="4" t="inlineStr">
        <is>
          <t>salman@lockterrace.com</t>
        </is>
      </c>
      <c r="F150" s="4" t="inlineStr"/>
      <c r="G150" s="6" t="inlineStr">
        <is>
          <t>2026-07-07</t>
        </is>
      </c>
      <c r="H150" s="6" t="inlineStr">
        <is>
          <t>2026-07-07</t>
        </is>
      </c>
      <c r="I150" s="6" t="n">
        <v>0</v>
      </c>
      <c r="J150" s="6" t="n">
        <v>0</v>
      </c>
      <c r="K150" s="7" t="inlineStr">
        <is>
          <t>Named in a thread</t>
        </is>
      </c>
      <c r="L150" s="8" t="inlineStr"/>
    </row>
    <row r="151">
      <c r="A151" s="4" t="inlineStr">
        <is>
          <t>Tariq</t>
        </is>
      </c>
      <c r="B151" s="10" t="inlineStr">
        <is>
          <t>Borrower / Sponsor</t>
        </is>
      </c>
      <c r="C151" s="4" t="inlineStr">
        <is>
          <t>Lock Terrace</t>
        </is>
      </c>
      <c r="D151" s="4" t="inlineStr"/>
      <c r="E151" s="4" t="inlineStr">
        <is>
          <t>tariq@lockterrace.com</t>
        </is>
      </c>
      <c r="F151" s="4" t="inlineStr"/>
      <c r="G151" s="6" t="inlineStr">
        <is>
          <t>2026-07-07</t>
        </is>
      </c>
      <c r="H151" s="6" t="inlineStr">
        <is>
          <t>2026-07-07</t>
        </is>
      </c>
      <c r="I151" s="6" t="n">
        <v>0</v>
      </c>
      <c r="J151" s="6" t="n">
        <v>0</v>
      </c>
      <c r="K151" s="7" t="inlineStr">
        <is>
          <t>Named in a thread</t>
        </is>
      </c>
      <c r="L151" s="8" t="inlineStr"/>
    </row>
    <row r="152">
      <c r="A152" s="4" t="inlineStr">
        <is>
          <t>Daniela Guberova</t>
        </is>
      </c>
      <c r="B152" s="10" t="inlineStr">
        <is>
          <t>Borrower / Sponsor</t>
        </is>
      </c>
      <c r="C152" s="4" t="inlineStr">
        <is>
          <t>London Land Group</t>
        </is>
      </c>
      <c r="D152" s="4" t="inlineStr">
        <is>
          <t>Group Financial Controller</t>
        </is>
      </c>
      <c r="E152" s="4" t="inlineStr">
        <is>
          <t>dguberova@londonland.group</t>
        </is>
      </c>
      <c r="F152" s="4" t="inlineStr">
        <is>
          <t>+44 7814 681502</t>
        </is>
      </c>
      <c r="G152" s="6" t="inlineStr">
        <is>
          <t>2026-03-23</t>
        </is>
      </c>
      <c r="H152" s="6" t="inlineStr">
        <is>
          <t>2026-03-24</t>
        </is>
      </c>
      <c r="I152" s="6" t="n">
        <v>3</v>
      </c>
      <c r="J152" s="6" t="n">
        <v>0</v>
      </c>
      <c r="K152" s="4" t="inlineStr">
        <is>
          <t>Direct correspondence</t>
        </is>
      </c>
      <c r="L152" s="8" t="inlineStr">
        <is>
          <t>Provides KYC and financial information for London Land's Bromley facility</t>
        </is>
      </c>
    </row>
    <row r="153">
      <c r="A153" s="4" t="inlineStr">
        <is>
          <t>Mario Luca Balducci</t>
        </is>
      </c>
      <c r="B153" s="10" t="inlineStr">
        <is>
          <t>Borrower / Sponsor</t>
        </is>
      </c>
      <c r="C153" s="4" t="inlineStr">
        <is>
          <t>London Land Group</t>
        </is>
      </c>
      <c r="D153" s="4" t="inlineStr">
        <is>
          <t>Chief Executive Officer</t>
        </is>
      </c>
      <c r="E153" s="4" t="inlineStr">
        <is>
          <t>mbalducci@londonland.group</t>
        </is>
      </c>
      <c r="F153" s="4" t="inlineStr"/>
      <c r="G153" s="6" t="inlineStr">
        <is>
          <t>2026-02-24</t>
        </is>
      </c>
      <c r="H153" s="6" t="inlineStr">
        <is>
          <t>2026-03-24</t>
        </is>
      </c>
      <c r="I153" s="6" t="n">
        <v>1</v>
      </c>
      <c r="J153" s="6" t="n">
        <v>0</v>
      </c>
      <c r="K153" s="4" t="inlineStr">
        <is>
          <t>Direct correspondence</t>
        </is>
      </c>
      <c r="L153" s="8" t="inlineStr">
        <is>
          <t>Sponsor principal on the REL / London Land Bromley deal</t>
        </is>
      </c>
    </row>
    <row r="154">
      <c r="A154" s="4" t="inlineStr">
        <is>
          <t>Nugen Group</t>
        </is>
      </c>
      <c r="B154" s="10" t="inlineStr">
        <is>
          <t>Borrower / Sponsor</t>
        </is>
      </c>
      <c r="C154" s="4" t="inlineStr">
        <is>
          <t>Nugen Group</t>
        </is>
      </c>
      <c r="D154" s="4" t="inlineStr"/>
      <c r="E154" s="4" t="inlineStr">
        <is>
          <t>info@nugen-group.co.uk</t>
        </is>
      </c>
      <c r="F154" s="4" t="inlineStr"/>
      <c r="G154" s="6" t="inlineStr">
        <is>
          <t>2025-06-03</t>
        </is>
      </c>
      <c r="H154" s="6" t="inlineStr">
        <is>
          <t>2025-06-03</t>
        </is>
      </c>
      <c r="I154" s="6" t="n">
        <v>0</v>
      </c>
      <c r="J154" s="6" t="n">
        <v>0</v>
      </c>
      <c r="K154" s="7" t="inlineStr">
        <is>
          <t>Named in a thread</t>
        </is>
      </c>
      <c r="L154" s="8" t="inlineStr">
        <is>
          <t>Developer enquiry on Hickstead &amp; Grovefield hotels</t>
        </is>
      </c>
    </row>
    <row r="155">
      <c r="A155" s="4" t="inlineStr">
        <is>
          <t>Rishi Passi</t>
        </is>
      </c>
      <c r="B155" s="10" t="inlineStr">
        <is>
          <t>Borrower / Sponsor</t>
        </is>
      </c>
      <c r="C155" s="4" t="inlineStr">
        <is>
          <t>Oblix Living</t>
        </is>
      </c>
      <c r="D155" s="4" t="inlineStr"/>
      <c r="E155" s="4" t="inlineStr">
        <is>
          <t>rishi@oblixliving.com</t>
        </is>
      </c>
      <c r="F155" s="4" t="inlineStr"/>
      <c r="G155" s="6" t="inlineStr">
        <is>
          <t>2026-06-15</t>
        </is>
      </c>
      <c r="H155" s="6" t="inlineStr">
        <is>
          <t>2026-06-16</t>
        </is>
      </c>
      <c r="I155" s="6" t="n">
        <v>1</v>
      </c>
      <c r="J155" s="6" t="n">
        <v>0</v>
      </c>
      <c r="K155" s="4" t="inlineStr">
        <is>
          <t>Direct correspondence</t>
        </is>
      </c>
      <c r="L155" s="8" t="inlineStr">
        <is>
          <t>Bidding on a Manchester office and discussing acquisition finance with REL</t>
        </is>
      </c>
    </row>
    <row r="156">
      <c r="A156" s="4" t="inlineStr">
        <is>
          <t>Rishi Khurana</t>
        </is>
      </c>
      <c r="B156" s="10" t="inlineStr">
        <is>
          <t>Borrower / Sponsor</t>
        </is>
      </c>
      <c r="C156" s="4" t="inlineStr">
        <is>
          <t>Purestone Capital</t>
        </is>
      </c>
      <c r="D156" s="4" t="inlineStr">
        <is>
          <t>Partner</t>
        </is>
      </c>
      <c r="E156" s="4" t="inlineStr">
        <is>
          <t>rishi@purestone.uk</t>
        </is>
      </c>
      <c r="F156" s="4" t="inlineStr">
        <is>
          <t>+44 7946 258 420</t>
        </is>
      </c>
      <c r="G156" s="6" t="inlineStr">
        <is>
          <t>2026-04-14</t>
        </is>
      </c>
      <c r="H156" s="6" t="inlineStr">
        <is>
          <t>2026-05-26</t>
        </is>
      </c>
      <c r="I156" s="6" t="n">
        <v>35</v>
      </c>
      <c r="J156" s="6" t="n">
        <v>0</v>
      </c>
      <c r="K156" s="4" t="inlineStr">
        <is>
          <t>Direct correspondence</t>
        </is>
      </c>
      <c r="L156" s="8" t="inlineStr">
        <is>
          <t>Very active sponsor contact on the 80-85 Tottenham Court Road bridge and the mezzanine finance book</t>
        </is>
      </c>
    </row>
    <row r="157">
      <c r="A157" s="4" t="inlineStr">
        <is>
          <t>Anand Morjaria</t>
        </is>
      </c>
      <c r="B157" s="10" t="inlineStr">
        <is>
          <t>Borrower / Sponsor</t>
        </is>
      </c>
      <c r="C157" s="4" t="inlineStr">
        <is>
          <t>Raam Healthcare</t>
        </is>
      </c>
      <c r="D157" s="4" t="inlineStr"/>
      <c r="E157" s="4" t="inlineStr">
        <is>
          <t>anand@raamhealthcare.com</t>
        </is>
      </c>
      <c r="F157" s="4" t="inlineStr"/>
      <c r="G157" s="6" t="inlineStr">
        <is>
          <t>2026-07-10</t>
        </is>
      </c>
      <c r="H157" s="6" t="inlineStr">
        <is>
          <t>2026-07-16</t>
        </is>
      </c>
      <c r="I157" s="6" t="n">
        <v>0</v>
      </c>
      <c r="J157" s="6" t="n">
        <v>0</v>
      </c>
      <c r="K157" s="7" t="inlineStr">
        <is>
          <t>Named in a thread</t>
        </is>
      </c>
      <c r="L157" s="8" t="inlineStr">
        <is>
          <t>On the Raam Healthcare bridging loan enquiry</t>
        </is>
      </c>
    </row>
    <row r="158">
      <c r="A158" s="4" t="inlineStr">
        <is>
          <t>Anshul Morjaria</t>
        </is>
      </c>
      <c r="B158" s="10" t="inlineStr">
        <is>
          <t>Borrower / Sponsor</t>
        </is>
      </c>
      <c r="C158" s="4" t="inlineStr">
        <is>
          <t>Raam Healthcare</t>
        </is>
      </c>
      <c r="D158" s="4" t="inlineStr"/>
      <c r="E158" s="4" t="inlineStr">
        <is>
          <t>anshul@raamhealthcare.com</t>
        </is>
      </c>
      <c r="F158" s="4" t="inlineStr"/>
      <c r="G158" s="6" t="inlineStr">
        <is>
          <t>2026-07-10</t>
        </is>
      </c>
      <c r="H158" s="6" t="inlineStr">
        <is>
          <t>2026-07-16</t>
        </is>
      </c>
      <c r="I158" s="6" t="n">
        <v>0</v>
      </c>
      <c r="J158" s="6" t="n">
        <v>0</v>
      </c>
      <c r="K158" s="7" t="inlineStr">
        <is>
          <t>Named in a thread</t>
        </is>
      </c>
      <c r="L158" s="8" t="inlineStr">
        <is>
          <t>On the Raam Healthcare bridging loan enquiry</t>
        </is>
      </c>
    </row>
    <row r="159">
      <c r="A159" s="4" t="inlineStr">
        <is>
          <t>Rohit Morjaria</t>
        </is>
      </c>
      <c r="B159" s="10" t="inlineStr">
        <is>
          <t>Borrower / Sponsor</t>
        </is>
      </c>
      <c r="C159" s="4" t="inlineStr">
        <is>
          <t>Raam Healthcare</t>
        </is>
      </c>
      <c r="D159" s="4" t="inlineStr"/>
      <c r="E159" s="4" t="inlineStr">
        <is>
          <t>rohit@raamhealthcare.com</t>
        </is>
      </c>
      <c r="F159" s="4" t="inlineStr"/>
      <c r="G159" s="6" t="inlineStr">
        <is>
          <t>2026-07-10</t>
        </is>
      </c>
      <c r="H159" s="6" t="inlineStr">
        <is>
          <t>2026-07-16</t>
        </is>
      </c>
      <c r="I159" s="6" t="n">
        <v>1</v>
      </c>
      <c r="J159" s="6" t="n">
        <v>0</v>
      </c>
      <c r="K159" s="4" t="inlineStr">
        <is>
          <t>Direct correspondence</t>
        </is>
      </c>
      <c r="L159" s="8" t="inlineStr">
        <is>
          <t>Bridging loan enquiry for Raam Healthcare</t>
        </is>
      </c>
    </row>
    <row r="160">
      <c r="A160" s="4" t="inlineStr">
        <is>
          <t>Adnan Adil</t>
        </is>
      </c>
      <c r="B160" s="10" t="inlineStr">
        <is>
          <t>Borrower / Sponsor</t>
        </is>
      </c>
      <c r="C160" s="4" t="inlineStr">
        <is>
          <t>Rasmala</t>
        </is>
      </c>
      <c r="D160" s="4" t="inlineStr"/>
      <c r="E160" s="4" t="inlineStr">
        <is>
          <t>adnan.adil@rasmala.com</t>
        </is>
      </c>
      <c r="F160" s="4" t="inlineStr"/>
      <c r="G160" s="6" t="inlineStr">
        <is>
          <t>2025-07-15</t>
        </is>
      </c>
      <c r="H160" s="6" t="inlineStr">
        <is>
          <t>2026-03-24</t>
        </is>
      </c>
      <c r="I160" s="6" t="n">
        <v>0</v>
      </c>
      <c r="J160" s="6" t="n">
        <v>0</v>
      </c>
      <c r="K160" s="7" t="inlineStr">
        <is>
          <t>Named in a thread</t>
        </is>
      </c>
      <c r="L160" s="8" t="inlineStr">
        <is>
          <t>Rasmala colleague on the Oryx 2 / Doxford refinancing and EE Doxford reports</t>
        </is>
      </c>
    </row>
    <row r="161">
      <c r="A161" s="4" t="inlineStr">
        <is>
          <t>Henry Sarkisov</t>
        </is>
      </c>
      <c r="B161" s="10" t="inlineStr">
        <is>
          <t>Borrower / Sponsor</t>
        </is>
      </c>
      <c r="C161" s="4" t="inlineStr">
        <is>
          <t>Rasmala</t>
        </is>
      </c>
      <c r="D161" s="4" t="inlineStr"/>
      <c r="E161" s="4" t="inlineStr">
        <is>
          <t>henry.sarkisov@rasmala.com</t>
        </is>
      </c>
      <c r="F161" s="4" t="inlineStr"/>
      <c r="G161" s="6" t="inlineStr">
        <is>
          <t>2026-02-18</t>
        </is>
      </c>
      <c r="H161" s="6" t="inlineStr">
        <is>
          <t>2026-03-24</t>
        </is>
      </c>
      <c r="I161" s="6" t="n">
        <v>4</v>
      </c>
      <c r="J161" s="6" t="n">
        <v>0</v>
      </c>
      <c r="K161" s="4" t="inlineStr">
        <is>
          <t>Direct correspondence</t>
        </is>
      </c>
      <c r="L161" s="8" t="inlineStr">
        <is>
          <t>Borrower-side lead on Oryx 2 Real Estate / Doxford, refinancing out of REL via Ortus Secured Finance</t>
        </is>
      </c>
    </row>
    <row r="162">
      <c r="A162" s="4" t="inlineStr">
        <is>
          <t>Clemente Apollonj</t>
        </is>
      </c>
      <c r="B162" s="10" t="inlineStr">
        <is>
          <t>Borrower / Sponsor</t>
        </is>
      </c>
      <c r="C162" s="4" t="inlineStr">
        <is>
          <t>Ros Capital</t>
        </is>
      </c>
      <c r="D162" s="4" t="inlineStr"/>
      <c r="E162" s="4" t="inlineStr">
        <is>
          <t>clemente@roscap.co.uk</t>
        </is>
      </c>
      <c r="F162" s="4" t="inlineStr"/>
      <c r="G162" s="6" t="inlineStr">
        <is>
          <t>2026-05-26</t>
        </is>
      </c>
      <c r="H162" s="6" t="inlineStr">
        <is>
          <t>2026-05-26</t>
        </is>
      </c>
      <c r="I162" s="6" t="n">
        <v>0</v>
      </c>
      <c r="J162" s="6" t="n">
        <v>0</v>
      </c>
      <c r="K162" s="7" t="inlineStr">
        <is>
          <t>Named in a thread</t>
        </is>
      </c>
      <c r="L162" s="8" t="inlineStr">
        <is>
          <t>Sought a max-leverage Central London bridge, £12m purchase against £15m market value</t>
        </is>
      </c>
    </row>
    <row r="163">
      <c r="A163" s="4" t="inlineStr">
        <is>
          <t>Vijay Bhandari</t>
        </is>
      </c>
      <c r="B163" s="10" t="inlineStr">
        <is>
          <t>Borrower / Sponsor</t>
        </is>
      </c>
      <c r="C163" s="4" t="inlineStr">
        <is>
          <t>Uno Hotels</t>
        </is>
      </c>
      <c r="D163" s="4" t="inlineStr"/>
      <c r="E163" s="4" t="inlineStr">
        <is>
          <t>vijay@unohotels.com</t>
        </is>
      </c>
      <c r="F163" s="4" t="inlineStr"/>
      <c r="G163" s="6" t="inlineStr">
        <is>
          <t>2025-05-06</t>
        </is>
      </c>
      <c r="H163" s="6" t="inlineStr">
        <is>
          <t>2026-04-27</t>
        </is>
      </c>
      <c r="I163" s="6" t="n">
        <v>0</v>
      </c>
      <c r="J163" s="6" t="n">
        <v>0</v>
      </c>
      <c r="K163" s="7" t="inlineStr">
        <is>
          <t>Named in a thread</t>
        </is>
      </c>
      <c r="L163" s="8" t="inlineStr">
        <is>
          <t>Hotel sponsor; Hickstead &amp; Grovefield loan extension and Uno Thames Hotel terms</t>
        </is>
      </c>
    </row>
    <row r="164">
      <c r="A164" s="4" t="inlineStr">
        <is>
          <t>Manraj Padda</t>
        </is>
      </c>
      <c r="B164" s="10" t="inlineStr">
        <is>
          <t>Borrower / Sponsor</t>
        </is>
      </c>
      <c r="C164" s="4" t="inlineStr">
        <is>
          <t>Westbrook Partners</t>
        </is>
      </c>
      <c r="D164" s="4" t="inlineStr">
        <is>
          <t>Director</t>
        </is>
      </c>
      <c r="E164" s="4" t="inlineStr">
        <is>
          <t>mpadda@westbrookpartners.com</t>
        </is>
      </c>
      <c r="F164" s="4" t="inlineStr">
        <is>
          <t>+44 (0) 20 7659 9458</t>
        </is>
      </c>
      <c r="G164" s="6" t="inlineStr">
        <is>
          <t>2026-04-23</t>
        </is>
      </c>
      <c r="H164" s="6" t="inlineStr">
        <is>
          <t>2026-04-28</t>
        </is>
      </c>
      <c r="I164" s="6" t="n">
        <v>1</v>
      </c>
      <c r="J164" s="6" t="n">
        <v>0</v>
      </c>
      <c r="K164" s="4" t="inlineStr">
        <is>
          <t>Direct correspondence</t>
        </is>
      </c>
      <c r="L164" s="8" t="inlineStr">
        <is>
          <t>Westbrook sponsor contact on 48 Albemarle Street</t>
        </is>
      </c>
    </row>
    <row r="165">
      <c r="A165" s="4" t="inlineStr">
        <is>
          <t>Anders Pals</t>
        </is>
      </c>
      <c r="B165" s="10" t="inlineStr">
        <is>
          <t>Borrower / Sponsor</t>
        </is>
      </c>
      <c r="C165" s="4" t="inlineStr">
        <is>
          <t>Willowtree Inc</t>
        </is>
      </c>
      <c r="D165" s="4" t="inlineStr"/>
      <c r="E165" s="4" t="inlineStr">
        <is>
          <t>anders.pals@willowtreeinc.net</t>
        </is>
      </c>
      <c r="F165" s="4" t="inlineStr"/>
      <c r="G165" s="6" t="inlineStr">
        <is>
          <t>2026-03-27</t>
        </is>
      </c>
      <c r="H165" s="6" t="inlineStr">
        <is>
          <t>2026-03-27</t>
        </is>
      </c>
      <c r="I165" s="6" t="n">
        <v>0</v>
      </c>
      <c r="J165" s="6" t="n">
        <v>0</v>
      </c>
      <c r="K165" s="7" t="inlineStr">
        <is>
          <t>Named in a thread</t>
        </is>
      </c>
      <c r="L165" s="8" t="inlineStr">
        <is>
          <t>Involved in Project Nest, Elephant &amp; Castle, London SE1</t>
        </is>
      </c>
    </row>
    <row r="166">
      <c r="A166" s="4" t="inlineStr">
        <is>
          <t>Alex Andrews</t>
        </is>
      </c>
      <c r="B166" s="11" t="inlineStr">
        <is>
          <t>Investor / Family Office</t>
        </is>
      </c>
      <c r="C166" s="4" t="inlineStr">
        <is>
          <t>Baccata Trustees Limited</t>
        </is>
      </c>
      <c r="D166" s="4" t="inlineStr">
        <is>
          <t>Manager</t>
        </is>
      </c>
      <c r="E166" s="4" t="inlineStr">
        <is>
          <t>aandrews@baccata.co.je</t>
        </is>
      </c>
      <c r="F166" s="4" t="inlineStr">
        <is>
          <t>+44 (0) 1534 870670, +44 (0) 1534 496804</t>
        </is>
      </c>
      <c r="G166" s="6" t="inlineStr">
        <is>
          <t>2026-01-29</t>
        </is>
      </c>
      <c r="H166" s="6" t="inlineStr">
        <is>
          <t>2026-07-22</t>
        </is>
      </c>
      <c r="I166" s="6" t="n">
        <v>5</v>
      </c>
      <c r="J166" s="6" t="n">
        <v>13</v>
      </c>
      <c r="K166" s="4" t="inlineStr">
        <is>
          <t>Direct correspondence</t>
        </is>
      </c>
      <c r="L166" s="8" t="inlineStr">
        <is>
          <t>Baccata trustee contact on 3A Palace Green and Minard Jersey coupon payments</t>
        </is>
      </c>
    </row>
    <row r="167">
      <c r="A167" s="4" t="inlineStr">
        <is>
          <t>Darren English</t>
        </is>
      </c>
      <c r="B167" s="11" t="inlineStr">
        <is>
          <t>Investor / Family Office</t>
        </is>
      </c>
      <c r="C167" s="4" t="inlineStr">
        <is>
          <t>Baccata Trustees Limited</t>
        </is>
      </c>
      <c r="D167" s="4" t="inlineStr"/>
      <c r="E167" s="4" t="inlineStr">
        <is>
          <t>denglish@baccata.co.je</t>
        </is>
      </c>
      <c r="F167" s="4" t="inlineStr"/>
      <c r="G167" s="6" t="inlineStr">
        <is>
          <t>2026-01-29</t>
        </is>
      </c>
      <c r="H167" s="6" t="inlineStr">
        <is>
          <t>2026-06-17</t>
        </is>
      </c>
      <c r="I167" s="6" t="n">
        <v>1</v>
      </c>
      <c r="J167" s="6" t="n">
        <v>0</v>
      </c>
      <c r="K167" s="4" t="inlineStr">
        <is>
          <t>Direct correspondence</t>
        </is>
      </c>
      <c r="L167" s="8" t="inlineStr">
        <is>
          <t>Baccata contact on 3A Palace Green completion and Minard Jersey coupons</t>
        </is>
      </c>
    </row>
    <row r="168">
      <c r="A168" s="4" t="inlineStr">
        <is>
          <t>R Wadsworth</t>
        </is>
      </c>
      <c r="B168" s="11" t="inlineStr">
        <is>
          <t>Investor / Family Office</t>
        </is>
      </c>
      <c r="C168" s="4" t="inlineStr">
        <is>
          <t>Baccata Trustees Limited</t>
        </is>
      </c>
      <c r="D168" s="4" t="inlineStr"/>
      <c r="E168" s="4" t="inlineStr">
        <is>
          <t>rwadsworth@baccata.co.je</t>
        </is>
      </c>
      <c r="F168" s="4" t="inlineStr"/>
      <c r="G168" s="6" t="inlineStr">
        <is>
          <t>2026-01-29</t>
        </is>
      </c>
      <c r="H168" s="6" t="inlineStr">
        <is>
          <t>2026-03-31</t>
        </is>
      </c>
      <c r="I168" s="6" t="n">
        <v>0</v>
      </c>
      <c r="J168" s="6" t="n">
        <v>2</v>
      </c>
      <c r="K168" s="4" t="inlineStr">
        <is>
          <t>Direct correspondence</t>
        </is>
      </c>
      <c r="L168" s="8" t="inlineStr">
        <is>
          <t>Copied on 3A Palace Green completion and loan note correspondence</t>
        </is>
      </c>
    </row>
    <row r="169">
      <c r="A169" s="4" t="inlineStr">
        <is>
          <t>Rebekka Brennan</t>
        </is>
      </c>
      <c r="B169" s="11" t="inlineStr">
        <is>
          <t>Investor / Family Office</t>
        </is>
      </c>
      <c r="C169" s="4" t="inlineStr">
        <is>
          <t>Baccata Trustees Limited</t>
        </is>
      </c>
      <c r="D169" s="4" t="inlineStr">
        <is>
          <t>Administrator</t>
        </is>
      </c>
      <c r="E169" s="4" t="inlineStr">
        <is>
          <t>rbrennan@baccata.co.je</t>
        </is>
      </c>
      <c r="F169" s="4" t="inlineStr">
        <is>
          <t>+44 (0) 1534 870670</t>
        </is>
      </c>
      <c r="G169" s="6" t="inlineStr">
        <is>
          <t>2026-03-31</t>
        </is>
      </c>
      <c r="H169" s="6" t="inlineStr">
        <is>
          <t>2026-07-22</t>
        </is>
      </c>
      <c r="I169" s="6" t="n">
        <v>5</v>
      </c>
      <c r="J169" s="6" t="n">
        <v>6</v>
      </c>
      <c r="K169" s="4" t="inlineStr">
        <is>
          <t>Direct correspondence</t>
        </is>
      </c>
      <c r="L169" s="8" t="inlineStr">
        <is>
          <t>Administers monthly Minard Jersey coupon and 3A Palace Green loan note payments</t>
        </is>
      </c>
    </row>
    <row r="170">
      <c r="A170" s="4" t="inlineStr">
        <is>
          <t>Sean Kenny</t>
        </is>
      </c>
      <c r="B170" s="11" t="inlineStr">
        <is>
          <t>Investor / Family Office</t>
        </is>
      </c>
      <c r="C170" s="4" t="inlineStr">
        <is>
          <t>Baccata Trustees Limited</t>
        </is>
      </c>
      <c r="D170" s="4" t="inlineStr">
        <is>
          <t>Client Director</t>
        </is>
      </c>
      <c r="E170" s="4" t="inlineStr">
        <is>
          <t>skenny@baccata.co.je</t>
        </is>
      </c>
      <c r="F170" s="4" t="inlineStr">
        <is>
          <t>+44 (0) 1534 870670</t>
        </is>
      </c>
      <c r="G170" s="6" t="inlineStr">
        <is>
          <t>2026-01-29</t>
        </is>
      </c>
      <c r="H170" s="6" t="inlineStr">
        <is>
          <t>2026-07-22</t>
        </is>
      </c>
      <c r="I170" s="6" t="n">
        <v>12</v>
      </c>
      <c r="J170" s="6" t="n">
        <v>13</v>
      </c>
      <c r="K170" s="4" t="inlineStr">
        <is>
          <t>Direct correspondence</t>
        </is>
      </c>
      <c r="L170" s="8" t="inlineStr">
        <is>
          <t>Jersey trustee lead on 3A Palace Green loan note and Minard Jersey coupons</t>
        </is>
      </c>
    </row>
    <row r="171">
      <c r="A171" s="4" t="inlineStr">
        <is>
          <t>Sienna De Freitas</t>
        </is>
      </c>
      <c r="B171" s="11" t="inlineStr">
        <is>
          <t>Investor / Family Office</t>
        </is>
      </c>
      <c r="C171" s="4" t="inlineStr">
        <is>
          <t>Baccata Trustees Limited</t>
        </is>
      </c>
      <c r="D171" s="4" t="inlineStr">
        <is>
          <t>Administrator</t>
        </is>
      </c>
      <c r="E171" s="4" t="inlineStr">
        <is>
          <t>sdefreitas@baccata.co.je</t>
        </is>
      </c>
      <c r="F171" s="4" t="inlineStr">
        <is>
          <t>+44 (0) 1534 870670</t>
        </is>
      </c>
      <c r="G171" s="6" t="inlineStr">
        <is>
          <t>2026-03-31</t>
        </is>
      </c>
      <c r="H171" s="6" t="inlineStr">
        <is>
          <t>2026-04-01</t>
        </is>
      </c>
      <c r="I171" s="6" t="n">
        <v>4</v>
      </c>
      <c r="J171" s="6" t="n">
        <v>0</v>
      </c>
      <c r="K171" s="4" t="inlineStr">
        <is>
          <t>Direct correspondence</t>
        </is>
      </c>
      <c r="L171" s="8" t="inlineStr">
        <is>
          <t>Handles Morka Holdings Ltd coupon payments</t>
        </is>
      </c>
    </row>
    <row r="172">
      <c r="A172" s="4" t="inlineStr">
        <is>
          <t>Ajay Gokani</t>
        </is>
      </c>
      <c r="B172" s="11" t="inlineStr">
        <is>
          <t>Investor / Family Office</t>
        </is>
      </c>
      <c r="C172" s="4" t="inlineStr">
        <is>
          <t>Elite Mobile</t>
        </is>
      </c>
      <c r="D172" s="4" t="inlineStr"/>
      <c r="E172" s="4" t="inlineStr">
        <is>
          <t>ajay@elitemobile.com</t>
        </is>
      </c>
      <c r="F172" s="4" t="inlineStr">
        <is>
          <t>+44 (0) 208 799 8001, +44 (0) 20 8799 8000</t>
        </is>
      </c>
      <c r="G172" s="6" t="inlineStr">
        <is>
          <t>2026-01-29</t>
        </is>
      </c>
      <c r="H172" s="6" t="inlineStr">
        <is>
          <t>2026-07-23</t>
        </is>
      </c>
      <c r="I172" s="6" t="n">
        <v>2</v>
      </c>
      <c r="J172" s="6" t="n">
        <v>11</v>
      </c>
      <c r="K172" s="4" t="inlineStr">
        <is>
          <t>Direct correspondence</t>
        </is>
      </c>
      <c r="L172" s="8" t="inlineStr">
        <is>
          <t>REL investor - approves facility extensions and reinvests redemptions (Oryx 2, DNA Uxbridge, St Clements House).</t>
        </is>
      </c>
    </row>
    <row r="173">
      <c r="A173" s="4" t="inlineStr">
        <is>
          <t>Mihir Gokani</t>
        </is>
      </c>
      <c r="B173" s="11" t="inlineStr">
        <is>
          <t>Investor / Family Office</t>
        </is>
      </c>
      <c r="C173" s="4" t="inlineStr">
        <is>
          <t>Elite Mobile</t>
        </is>
      </c>
      <c r="D173" s="4" t="inlineStr"/>
      <c r="E173" s="4" t="inlineStr">
        <is>
          <t>mihir@elitemobile.com</t>
        </is>
      </c>
      <c r="F173" s="4" t="inlineStr"/>
      <c r="G173" s="6" t="inlineStr">
        <is>
          <t>2026-01-29</t>
        </is>
      </c>
      <c r="H173" s="6" t="inlineStr">
        <is>
          <t>2026-07-01</t>
        </is>
      </c>
      <c r="I173" s="6" t="n">
        <v>0</v>
      </c>
      <c r="J173" s="6" t="n">
        <v>6</v>
      </c>
      <c r="K173" s="4" t="inlineStr">
        <is>
          <t>Direct correspondence</t>
        </is>
      </c>
      <c r="L173" s="8" t="inlineStr">
        <is>
          <t>Elite Mobile side of the Chotilal Lakhani REL bond interest payments.</t>
        </is>
      </c>
    </row>
    <row r="174">
      <c r="A174" s="4" t="inlineStr">
        <is>
          <t>Sarit Raja-Shah</t>
        </is>
      </c>
      <c r="B174" s="11" t="inlineStr">
        <is>
          <t>Investor / Family Office</t>
        </is>
      </c>
      <c r="C174" s="4" t="inlineStr">
        <is>
          <t>I&amp;M Bank</t>
        </is>
      </c>
      <c r="D174" s="4" t="inlineStr"/>
      <c r="E174" s="4" t="inlineStr">
        <is>
          <t>ssrajashah@imbank.co.ke</t>
        </is>
      </c>
      <c r="F174" s="4" t="inlineStr"/>
      <c r="G174" s="6" t="inlineStr">
        <is>
          <t>2026-01-29</t>
        </is>
      </c>
      <c r="H174" s="6" t="inlineStr">
        <is>
          <t>2026-07-23</t>
        </is>
      </c>
      <c r="I174" s="6" t="n">
        <v>2</v>
      </c>
      <c r="J174" s="6" t="n">
        <v>11</v>
      </c>
      <c r="K174" s="4" t="inlineStr">
        <is>
          <t>Direct correspondence</t>
        </is>
      </c>
      <c r="L174" s="8" t="inlineStr">
        <is>
          <t>REL shareholder; signs off on recycling shareholder funds (Oryx 2 redemption, Bromley, DNA Uxbridge) and receives REL management accounts</t>
        </is>
      </c>
    </row>
    <row r="175">
      <c r="A175" s="4" t="inlineStr">
        <is>
          <t>Hemlata / Jay</t>
        </is>
      </c>
      <c r="B175" s="11" t="inlineStr">
        <is>
          <t>Investor / Family Office</t>
        </is>
      </c>
      <c r="C175" s="4" t="inlineStr">
        <is>
          <t>Jarishka</t>
        </is>
      </c>
      <c r="D175" s="4" t="inlineStr"/>
      <c r="E175" s="4" t="inlineStr">
        <is>
          <t>jaynbi27@gmail.com</t>
        </is>
      </c>
      <c r="F175" s="4" t="inlineStr"/>
      <c r="G175" s="6" t="inlineStr">
        <is>
          <t>2026-02-25</t>
        </is>
      </c>
      <c r="H175" s="6" t="inlineStr">
        <is>
          <t>2026-07-01</t>
        </is>
      </c>
      <c r="I175" s="6" t="n">
        <v>0</v>
      </c>
      <c r="J175" s="6" t="n">
        <v>5</v>
      </c>
      <c r="K175" s="4" t="inlineStr">
        <is>
          <t>Direct correspondence</t>
        </is>
      </c>
      <c r="L175" s="8" t="inlineStr">
        <is>
          <t>Receives monthly 3A Palace Green loan note statements</t>
        </is>
      </c>
    </row>
    <row r="176">
      <c r="A176" s="4" t="inlineStr">
        <is>
          <t>Ketan Morjaria</t>
        </is>
      </c>
      <c r="B176" s="11" t="inlineStr">
        <is>
          <t>Investor / Family Office</t>
        </is>
      </c>
      <c r="C176" s="4" t="inlineStr">
        <is>
          <t>Morka Group</t>
        </is>
      </c>
      <c r="D176" s="4" t="inlineStr"/>
      <c r="E176" s="4" t="inlineStr">
        <is>
          <t>ketan@morkagroup.com</t>
        </is>
      </c>
      <c r="F176" s="4" t="inlineStr"/>
      <c r="G176" s="6" t="inlineStr">
        <is>
          <t>2026-01-29</t>
        </is>
      </c>
      <c r="H176" s="6" t="inlineStr">
        <is>
          <t>2026-07-23</t>
        </is>
      </c>
      <c r="I176" s="6" t="n">
        <v>1</v>
      </c>
      <c r="J176" s="6" t="n">
        <v>7</v>
      </c>
      <c r="K176" s="4" t="inlineStr">
        <is>
          <t>Direct correspondence</t>
        </is>
      </c>
      <c r="L176" s="8" t="inlineStr">
        <is>
          <t>Capital side - 7A Palace Green loan note, calls on St Clements House and Peninsular House</t>
        </is>
      </c>
    </row>
    <row r="177">
      <c r="A177" s="4" t="inlineStr">
        <is>
          <t>Neel Rajani</t>
        </is>
      </c>
      <c r="B177" s="11" t="inlineStr">
        <is>
          <t>Investor / Family Office</t>
        </is>
      </c>
      <c r="C177" s="4" t="inlineStr">
        <is>
          <t>Reel Wealth Ltd</t>
        </is>
      </c>
      <c r="D177" s="4" t="inlineStr"/>
      <c r="E177" s="4" t="inlineStr">
        <is>
          <t>neel@reelholdings.co.uk</t>
        </is>
      </c>
      <c r="F177" s="4" t="inlineStr"/>
      <c r="G177" s="6" t="inlineStr">
        <is>
          <t>2026-03-31</t>
        </is>
      </c>
      <c r="H177" s="6" t="inlineStr">
        <is>
          <t>2026-07-01</t>
        </is>
      </c>
      <c r="I177" s="6" t="n">
        <v>2</v>
      </c>
      <c r="J177" s="6" t="n">
        <v>3</v>
      </c>
      <c r="K177" s="4" t="inlineStr">
        <is>
          <t>Direct correspondence</t>
        </is>
      </c>
      <c r="L177" s="8" t="inlineStr">
        <is>
          <t>Holds the Reel Wealth loan note in The Landsby, Stanmore; Shyam sends him the periodic update and interest payments</t>
        </is>
      </c>
    </row>
    <row r="178">
      <c r="A178" s="4" t="inlineStr">
        <is>
          <t>Paul Bulstrode</t>
        </is>
      </c>
      <c r="B178" s="11" t="inlineStr">
        <is>
          <t>Investor / Family Office</t>
        </is>
      </c>
      <c r="C178" s="4" t="inlineStr">
        <is>
          <t>VG (Jersey)</t>
        </is>
      </c>
      <c r="D178" s="4" t="inlineStr"/>
      <c r="E178" s="4" t="inlineStr">
        <is>
          <t>pbulstrode@vg.je</t>
        </is>
      </c>
      <c r="F178" s="4" t="inlineStr"/>
      <c r="G178" s="6" t="inlineStr">
        <is>
          <t>2026-02-18</t>
        </is>
      </c>
      <c r="H178" s="6" t="inlineStr">
        <is>
          <t>2026-02-18</t>
        </is>
      </c>
      <c r="I178" s="6" t="n">
        <v>0</v>
      </c>
      <c r="J178" s="6" t="n">
        <v>0</v>
      </c>
      <c r="K178" s="7" t="inlineStr">
        <is>
          <t>Named in a thread</t>
        </is>
      </c>
      <c r="L178" s="8" t="inlineStr">
        <is>
          <t>Jersey administrator of the Oryx 2 Real Estate / Rasmala structure; scheduled payment notifications</t>
        </is>
      </c>
    </row>
    <row r="179">
      <c r="A179" s="4" t="inlineStr">
        <is>
          <t>Rasmala Administration Team</t>
        </is>
      </c>
      <c r="B179" s="11" t="inlineStr">
        <is>
          <t>Investor / Family Office</t>
        </is>
      </c>
      <c r="C179" s="4" t="inlineStr">
        <is>
          <t>VG (Jersey)</t>
        </is>
      </c>
      <c r="D179" s="4" t="inlineStr"/>
      <c r="E179" s="4" t="inlineStr">
        <is>
          <t>rasmala@vg.je</t>
        </is>
      </c>
      <c r="F179" s="4" t="inlineStr"/>
      <c r="G179" s="6" t="inlineStr">
        <is>
          <t>2026-02-18</t>
        </is>
      </c>
      <c r="H179" s="6" t="inlineStr">
        <is>
          <t>2026-02-18</t>
        </is>
      </c>
      <c r="I179" s="6" t="n">
        <v>0</v>
      </c>
      <c r="J179" s="6" t="n">
        <v>0</v>
      </c>
      <c r="K179" s="7" t="inlineStr">
        <is>
          <t>Named in a thread</t>
        </is>
      </c>
      <c r="L179" s="8" t="inlineStr">
        <is>
          <t>VG Jersey administration inbox for the Rasmala Oryx 2 Real Estate payments</t>
        </is>
      </c>
    </row>
    <row r="180">
      <c r="A180" s="4" t="inlineStr">
        <is>
          <t>Stuart Andre</t>
        </is>
      </c>
      <c r="B180" s="11" t="inlineStr">
        <is>
          <t>Investor / Family Office</t>
        </is>
      </c>
      <c r="C180" s="4" t="inlineStr">
        <is>
          <t>VG (Jersey)</t>
        </is>
      </c>
      <c r="D180" s="4" t="inlineStr"/>
      <c r="E180" s="4" t="inlineStr">
        <is>
          <t>sandre@vg.je</t>
        </is>
      </c>
      <c r="F180" s="4" t="inlineStr"/>
      <c r="G180" s="6" t="inlineStr">
        <is>
          <t>2026-02-18</t>
        </is>
      </c>
      <c r="H180" s="6" t="inlineStr">
        <is>
          <t>2026-02-18</t>
        </is>
      </c>
      <c r="I180" s="6" t="n">
        <v>0</v>
      </c>
      <c r="J180" s="6" t="n">
        <v>0</v>
      </c>
      <c r="K180" s="7" t="inlineStr">
        <is>
          <t>Named in a thread</t>
        </is>
      </c>
      <c r="L180" s="8" t="inlineStr">
        <is>
          <t>VG Jersey administrator on the Oryx 2 Real Estate payment notifications</t>
        </is>
      </c>
    </row>
    <row r="181">
      <c r="A181" s="4" t="inlineStr">
        <is>
          <t>Chris Kelly</t>
        </is>
      </c>
      <c r="B181" s="11" t="inlineStr">
        <is>
          <t>Investor / Family Office</t>
        </is>
      </c>
      <c r="C181" s="4" t="inlineStr">
        <is>
          <t>Waypoint Asset Management</t>
        </is>
      </c>
      <c r="D181" s="4" t="inlineStr"/>
      <c r="E181" s="4" t="inlineStr">
        <is>
          <t>chris.kelly@waypointam.co.uk</t>
        </is>
      </c>
      <c r="F181" s="4" t="inlineStr"/>
      <c r="G181" s="6" t="inlineStr">
        <is>
          <t>2026-01-26</t>
        </is>
      </c>
      <c r="H181" s="6" t="inlineStr">
        <is>
          <t>2026-01-26</t>
        </is>
      </c>
      <c r="I181" s="6" t="n">
        <v>0</v>
      </c>
      <c r="J181" s="6" t="n">
        <v>0</v>
      </c>
      <c r="K181" s="7" t="inlineStr">
        <is>
          <t>Named in a thread</t>
        </is>
      </c>
      <c r="L181" s="8" t="inlineStr">
        <is>
          <t>Quoted headers inside the forwarded 'FW: Tribeca' chain 26/01/2026 — Waypoint AM made the introduction on the Tribeca Holdings financing.</t>
        </is>
      </c>
    </row>
    <row r="182">
      <c r="A182" s="4" t="inlineStr">
        <is>
          <t>Jon Leefe</t>
        </is>
      </c>
      <c r="B182" s="11" t="inlineStr">
        <is>
          <t>Investor / Family Office</t>
        </is>
      </c>
      <c r="C182" s="4" t="inlineStr">
        <is>
          <t>Waypoint Asset Management</t>
        </is>
      </c>
      <c r="D182" s="4" t="inlineStr"/>
      <c r="E182" s="4" t="inlineStr">
        <is>
          <t>jon.leefe@waypointam.co.uk</t>
        </is>
      </c>
      <c r="F182" s="4" t="inlineStr"/>
      <c r="G182" s="6" t="inlineStr">
        <is>
          <t>2026-01-26</t>
        </is>
      </c>
      <c r="H182" s="6" t="inlineStr">
        <is>
          <t>2026-01-26</t>
        </is>
      </c>
      <c r="I182" s="6" t="n">
        <v>0</v>
      </c>
      <c r="J182" s="6" t="n">
        <v>0</v>
      </c>
      <c r="K182" s="7" t="inlineStr">
        <is>
          <t>Named in a thread</t>
        </is>
      </c>
      <c r="L182" s="8" t="inlineStr">
        <is>
          <t>Quoted Cc header repeatedly inside the forwarded 'FW: Tribeca' chain 26/01/2026.</t>
        </is>
      </c>
    </row>
    <row r="183">
      <c r="A183" s="4" t="inlineStr">
        <is>
          <t>Kirstyn Rutter</t>
        </is>
      </c>
      <c r="B183" s="11" t="inlineStr">
        <is>
          <t>Investor / Family Office</t>
        </is>
      </c>
      <c r="C183" s="4" t="inlineStr">
        <is>
          <t>Waypoint Asset Management</t>
        </is>
      </c>
      <c r="D183" s="4" t="inlineStr"/>
      <c r="E183" s="4" t="inlineStr">
        <is>
          <t>kirstyn@waypointam.co.uk</t>
        </is>
      </c>
      <c r="F183" s="4" t="inlineStr"/>
      <c r="G183" s="6" t="inlineStr">
        <is>
          <t>2026-01-26</t>
        </is>
      </c>
      <c r="H183" s="6" t="inlineStr">
        <is>
          <t>2026-01-26</t>
        </is>
      </c>
      <c r="I183" s="6" t="n">
        <v>0</v>
      </c>
      <c r="J183" s="6" t="n">
        <v>0</v>
      </c>
      <c r="K183" s="7" t="inlineStr">
        <is>
          <t>Named in a thread</t>
        </is>
      </c>
      <c r="L183" s="8" t="inlineStr">
        <is>
          <t>Quoted Cc header repeatedly inside the forwarded 'FW: Tribeca' chain 26/01/2026.</t>
        </is>
      </c>
    </row>
    <row r="184">
      <c r="A184" s="4" t="inlineStr">
        <is>
          <t>Chotilal Lakhani</t>
        </is>
      </c>
      <c r="B184" s="11" t="inlineStr">
        <is>
          <t>Investor / Family Office</t>
        </is>
      </c>
      <c r="C184" s="4" t="inlineStr"/>
      <c r="D184" s="4" t="inlineStr"/>
      <c r="E184" s="4" t="inlineStr">
        <is>
          <t>chhotukaka@gmail.com</t>
        </is>
      </c>
      <c r="F184" s="4" t="inlineStr"/>
      <c r="G184" s="6" t="inlineStr">
        <is>
          <t>2026-01-29</t>
        </is>
      </c>
      <c r="H184" s="6" t="inlineStr">
        <is>
          <t>2026-07-01</t>
        </is>
      </c>
      <c r="I184" s="6" t="n">
        <v>8</v>
      </c>
      <c r="J184" s="6" t="n">
        <v>8</v>
      </c>
      <c r="K184" s="4" t="inlineStr">
        <is>
          <t>Direct correspondence</t>
        </is>
      </c>
      <c r="L184" s="8" t="inlineStr">
        <is>
          <t>REL Finance bondholder - receives monthly bond interest payments.</t>
        </is>
      </c>
    </row>
    <row r="185">
      <c r="A185" s="4" t="inlineStr">
        <is>
          <t>Neelam Bose</t>
        </is>
      </c>
      <c r="B185" s="11" t="inlineStr">
        <is>
          <t>Investor / Family Office</t>
        </is>
      </c>
      <c r="C185" s="4" t="inlineStr"/>
      <c r="D185" s="4" t="inlineStr"/>
      <c r="E185" s="4" t="inlineStr">
        <is>
          <t>neelam_bose@hotmail.com</t>
        </is>
      </c>
      <c r="F185" s="4" t="inlineStr"/>
      <c r="G185" s="6" t="inlineStr">
        <is>
          <t>2026-02-25</t>
        </is>
      </c>
      <c r="H185" s="6" t="inlineStr">
        <is>
          <t>2026-07-01</t>
        </is>
      </c>
      <c r="I185" s="6" t="n">
        <v>0</v>
      </c>
      <c r="J185" s="6" t="n">
        <v>5</v>
      </c>
      <c r="K185" s="4" t="inlineStr">
        <is>
          <t>Direct correspondence</t>
        </is>
      </c>
      <c r="L185" s="8" t="inlineStr">
        <is>
          <t>Bose family loan note holder; receives monthly 3A Palace Green statements</t>
        </is>
      </c>
    </row>
    <row r="186">
      <c r="A186" s="4" t="inlineStr">
        <is>
          <t>Pragna Morjaria</t>
        </is>
      </c>
      <c r="B186" s="11" t="inlineStr">
        <is>
          <t>Investor / Family Office</t>
        </is>
      </c>
      <c r="C186" s="4" t="inlineStr"/>
      <c r="D186" s="4" t="inlineStr"/>
      <c r="E186" s="4" t="inlineStr">
        <is>
          <t>pragna_morjaria@hotmail.com</t>
        </is>
      </c>
      <c r="F186" s="4" t="inlineStr"/>
      <c r="G186" s="6" t="inlineStr">
        <is>
          <t>2026-01-29</t>
        </is>
      </c>
      <c r="H186" s="6" t="inlineStr">
        <is>
          <t>2026-07-01</t>
        </is>
      </c>
      <c r="I186" s="6" t="n">
        <v>0</v>
      </c>
      <c r="J186" s="6" t="n">
        <v>5</v>
      </c>
      <c r="K186" s="4" t="inlineStr">
        <is>
          <t>Direct correspondence</t>
        </is>
      </c>
      <c r="L186" s="8" t="inlineStr">
        <is>
          <t>Morjaria family loan note holder; 7A Palace Green certificate and accession undertaking, plus 3A Palace Green statements</t>
        </is>
      </c>
    </row>
    <row r="187">
      <c r="A187" s="4" t="inlineStr">
        <is>
          <t>G. Smith</t>
        </is>
      </c>
      <c r="B187" s="12" t="inlineStr">
        <is>
          <t>Solicitor / Legal</t>
        </is>
      </c>
      <c r="C187" s="4" t="inlineStr">
        <is>
          <t>Fladgate LLP</t>
        </is>
      </c>
      <c r="D187" s="4" t="inlineStr"/>
      <c r="E187" s="4" t="inlineStr">
        <is>
          <t>gsmith@fladgate.com</t>
        </is>
      </c>
      <c r="F187" s="4" t="inlineStr"/>
      <c r="G187" s="6" t="inlineStr">
        <is>
          <t>2026-07-15</t>
        </is>
      </c>
      <c r="H187" s="6" t="inlineStr">
        <is>
          <t>2026-07-15</t>
        </is>
      </c>
      <c r="I187" s="6" t="n">
        <v>0</v>
      </c>
      <c r="J187" s="6" t="n">
        <v>0</v>
      </c>
      <c r="K187" s="7" t="inlineStr">
        <is>
          <t>Named in a thread</t>
        </is>
      </c>
      <c r="L187" s="8" t="inlineStr">
        <is>
          <t>Fladgate legal team on the Chart Forte (Monument) funds flow with OakNorth.</t>
        </is>
      </c>
    </row>
    <row r="188">
      <c r="A188" s="4" t="inlineStr">
        <is>
          <t>R. Serhal</t>
        </is>
      </c>
      <c r="B188" s="12" t="inlineStr">
        <is>
          <t>Solicitor / Legal</t>
        </is>
      </c>
      <c r="C188" s="4" t="inlineStr">
        <is>
          <t>Fladgate LLP</t>
        </is>
      </c>
      <c r="D188" s="4" t="inlineStr"/>
      <c r="E188" s="4" t="inlineStr">
        <is>
          <t>rserhal@fladgate.com</t>
        </is>
      </c>
      <c r="F188" s="4" t="inlineStr"/>
      <c r="G188" s="6" t="inlineStr">
        <is>
          <t>2026-07-15</t>
        </is>
      </c>
      <c r="H188" s="6" t="inlineStr">
        <is>
          <t>2026-07-15</t>
        </is>
      </c>
      <c r="I188" s="6" t="n">
        <v>0</v>
      </c>
      <c r="J188" s="6" t="n">
        <v>0</v>
      </c>
      <c r="K188" s="7" t="inlineStr">
        <is>
          <t>Named in a thread</t>
        </is>
      </c>
      <c r="L188" s="8" t="inlineStr">
        <is>
          <t>Fladgate legal team on the Chart Forte (Monument) funds flow with OakNorth.</t>
        </is>
      </c>
    </row>
    <row r="189">
      <c r="A189" s="4" t="inlineStr">
        <is>
          <t>V. Brownell</t>
        </is>
      </c>
      <c r="B189" s="12" t="inlineStr">
        <is>
          <t>Solicitor / Legal</t>
        </is>
      </c>
      <c r="C189" s="4" t="inlineStr">
        <is>
          <t>Fladgate LLP</t>
        </is>
      </c>
      <c r="D189" s="4" t="inlineStr"/>
      <c r="E189" s="4" t="inlineStr">
        <is>
          <t>vbrownell@fladgate.com</t>
        </is>
      </c>
      <c r="F189" s="4" t="inlineStr"/>
      <c r="G189" s="6" t="inlineStr">
        <is>
          <t>2026-07-15</t>
        </is>
      </c>
      <c r="H189" s="6" t="inlineStr">
        <is>
          <t>2026-07-15</t>
        </is>
      </c>
      <c r="I189" s="6" t="n">
        <v>0</v>
      </c>
      <c r="J189" s="6" t="n">
        <v>0</v>
      </c>
      <c r="K189" s="7" t="inlineStr">
        <is>
          <t>Named in a thread</t>
        </is>
      </c>
      <c r="L189" s="8" t="inlineStr">
        <is>
          <t>Fladgate legal team on the Chart Forte (Monument) funds flow with OakNorth.</t>
        </is>
      </c>
    </row>
    <row r="190">
      <c r="A190" s="4" t="inlineStr">
        <is>
          <t>E Ooi</t>
        </is>
      </c>
      <c r="B190" s="12" t="inlineStr">
        <is>
          <t>Solicitor / Legal</t>
        </is>
      </c>
      <c r="C190" s="4" t="inlineStr">
        <is>
          <t>Lawrence Stephens</t>
        </is>
      </c>
      <c r="D190" s="4" t="inlineStr"/>
      <c r="E190" s="4" t="inlineStr">
        <is>
          <t>eooi@lawstep.co.uk</t>
        </is>
      </c>
      <c r="F190" s="4" t="inlineStr"/>
      <c r="G190" s="6" t="inlineStr">
        <is>
          <t>2026-03-06</t>
        </is>
      </c>
      <c r="H190" s="6" t="inlineStr">
        <is>
          <t>2026-03-26</t>
        </is>
      </c>
      <c r="I190" s="6" t="n">
        <v>0</v>
      </c>
      <c r="J190" s="6" t="n">
        <v>0</v>
      </c>
      <c r="K190" s="7" t="inlineStr">
        <is>
          <t>Named in a thread</t>
        </is>
      </c>
      <c r="L190" s="8" t="inlineStr">
        <is>
          <t>Lawrence Stephens team member on the Oryx 2 redemption</t>
        </is>
      </c>
    </row>
    <row r="191">
      <c r="A191" s="4" t="inlineStr">
        <is>
          <t>L Brown</t>
        </is>
      </c>
      <c r="B191" s="12" t="inlineStr">
        <is>
          <t>Solicitor / Legal</t>
        </is>
      </c>
      <c r="C191" s="4" t="inlineStr">
        <is>
          <t>Lawrence Stephens</t>
        </is>
      </c>
      <c r="D191" s="4" t="inlineStr"/>
      <c r="E191" s="4" t="inlineStr">
        <is>
          <t>lbrown@lawstep.co.uk</t>
        </is>
      </c>
      <c r="F191" s="4" t="inlineStr"/>
      <c r="G191" s="6" t="inlineStr">
        <is>
          <t>2026-04-27</t>
        </is>
      </c>
      <c r="H191" s="6" t="inlineStr">
        <is>
          <t>2026-05-06</t>
        </is>
      </c>
      <c r="I191" s="6" t="n">
        <v>0</v>
      </c>
      <c r="J191" s="6" t="n">
        <v>0</v>
      </c>
      <c r="K191" s="7" t="inlineStr">
        <is>
          <t>Named in a thread</t>
        </is>
      </c>
      <c r="L191" s="8" t="inlineStr">
        <is>
          <t>Lawrence Stephens contact on the Uno Thames Hotel legal quote</t>
        </is>
      </c>
    </row>
    <row r="192">
      <c r="A192" s="4" t="inlineStr">
        <is>
          <t>Milana Katz</t>
        </is>
      </c>
      <c r="B192" s="12" t="inlineStr">
        <is>
          <t>Solicitor / Legal</t>
        </is>
      </c>
      <c r="C192" s="4" t="inlineStr">
        <is>
          <t>Lawrence Stephens</t>
        </is>
      </c>
      <c r="D192" s="4" t="inlineStr">
        <is>
          <t>Senior Associate</t>
        </is>
      </c>
      <c r="E192" s="4" t="inlineStr">
        <is>
          <t>mkatz@lawstep.co.uk</t>
        </is>
      </c>
      <c r="F192" s="4" t="inlineStr">
        <is>
          <t>+44 (0)20 3004 3982, +44 (0)7858 518 388</t>
        </is>
      </c>
      <c r="G192" s="6" t="inlineStr">
        <is>
          <t>2026-02-24</t>
        </is>
      </c>
      <c r="H192" s="6" t="inlineStr">
        <is>
          <t>2026-05-06</t>
        </is>
      </c>
      <c r="I192" s="6" t="n">
        <v>15</v>
      </c>
      <c r="J192" s="6" t="n">
        <v>0</v>
      </c>
      <c r="K192" s="4" t="inlineStr">
        <is>
          <t>Direct correspondence</t>
        </is>
      </c>
      <c r="L192" s="8" t="inlineStr">
        <is>
          <t>Ran the Oryx 2 Real Estate loan redemption for REL</t>
        </is>
      </c>
    </row>
    <row r="193">
      <c r="A193" s="4" t="inlineStr">
        <is>
          <t>Andrew Parsons</t>
        </is>
      </c>
      <c r="B193" s="12" t="inlineStr">
        <is>
          <t>Solicitor / Legal</t>
        </is>
      </c>
      <c r="C193" s="4" t="inlineStr">
        <is>
          <t>Osborne Clarke</t>
        </is>
      </c>
      <c r="D193" s="4" t="inlineStr">
        <is>
          <t>Partner</t>
        </is>
      </c>
      <c r="E193" s="4" t="inlineStr">
        <is>
          <t>andrew.parsons@osborneclarke.com</t>
        </is>
      </c>
      <c r="F193" s="4" t="inlineStr">
        <is>
          <t>+44 117 917 4276</t>
        </is>
      </c>
      <c r="G193" s="6" t="inlineStr">
        <is>
          <t>2026-07-20</t>
        </is>
      </c>
      <c r="H193" s="6" t="inlineStr">
        <is>
          <t>2026-07-22</t>
        </is>
      </c>
      <c r="I193" s="6" t="n">
        <v>2</v>
      </c>
      <c r="J193" s="6" t="n">
        <v>0</v>
      </c>
      <c r="K193" s="4" t="inlineStr">
        <is>
          <t>Direct correspondence</t>
        </is>
      </c>
      <c r="L193" s="8" t="inlineStr">
        <is>
          <t>REL's lender-side counsel on the DNA Uxbridge loan extension and the GBB loan-on-loan documentation</t>
        </is>
      </c>
    </row>
    <row r="194">
      <c r="A194" s="4" t="inlineStr">
        <is>
          <t>Alice King</t>
        </is>
      </c>
      <c r="B194" s="12" t="inlineStr">
        <is>
          <t>Solicitor / Legal</t>
        </is>
      </c>
      <c r="C194" s="4" t="inlineStr">
        <is>
          <t>Shepherd and Wedderburn LLP</t>
        </is>
      </c>
      <c r="D194" s="4" t="inlineStr">
        <is>
          <t>Trainee Solicitor, Banking &amp; Corporate Finance</t>
        </is>
      </c>
      <c r="E194" s="4" t="inlineStr">
        <is>
          <t>alice.king@shepwedd.com</t>
        </is>
      </c>
      <c r="F194" s="4" t="inlineStr">
        <is>
          <t>+44 (0)20 7429 4975, +44 (0)771 378 2359</t>
        </is>
      </c>
      <c r="G194" s="6" t="inlineStr">
        <is>
          <t>2026-03-09</t>
        </is>
      </c>
      <c r="H194" s="6" t="inlineStr">
        <is>
          <t>2026-03-17</t>
        </is>
      </c>
      <c r="I194" s="6" t="n">
        <v>3</v>
      </c>
      <c r="J194" s="6" t="n">
        <v>0</v>
      </c>
      <c r="K194" s="4" t="inlineStr">
        <is>
          <t>Direct correspondence</t>
        </is>
      </c>
      <c r="L194" s="8" t="inlineStr">
        <is>
          <t>Drafting REL's facility agreement and subordination on 1 Westmoreland Road, Bromley (London Land)</t>
        </is>
      </c>
    </row>
    <row r="195">
      <c r="A195" s="4" t="inlineStr">
        <is>
          <t>Lauren McLeod</t>
        </is>
      </c>
      <c r="B195" s="12" t="inlineStr">
        <is>
          <t>Solicitor / Legal</t>
        </is>
      </c>
      <c r="C195" s="4" t="inlineStr">
        <is>
          <t>Shepherd and Wedderburn LLP</t>
        </is>
      </c>
      <c r="D195" s="4" t="inlineStr"/>
      <c r="E195" s="4" t="inlineStr">
        <is>
          <t>lauren.mcleod@shepwedd.com</t>
        </is>
      </c>
      <c r="F195" s="4" t="inlineStr"/>
      <c r="G195" s="6" t="inlineStr">
        <is>
          <t>2026-03-09</t>
        </is>
      </c>
      <c r="H195" s="6" t="inlineStr">
        <is>
          <t>2026-03-16</t>
        </is>
      </c>
      <c r="I195" s="6" t="n">
        <v>0</v>
      </c>
      <c r="J195" s="6" t="n">
        <v>0</v>
      </c>
      <c r="K195" s="7" t="inlineStr">
        <is>
          <t>Named in a thread</t>
        </is>
      </c>
      <c r="L195" s="8" t="inlineStr">
        <is>
          <t>Shepherd and Wedderburn team on the Bromley draft facility agreement</t>
        </is>
      </c>
    </row>
    <row r="196">
      <c r="A196" s="4" t="inlineStr">
        <is>
          <t>Sam Clarke</t>
        </is>
      </c>
      <c r="B196" s="12" t="inlineStr">
        <is>
          <t>Solicitor / Legal</t>
        </is>
      </c>
      <c r="C196" s="4" t="inlineStr">
        <is>
          <t>Shepherd and Wedderburn LLP</t>
        </is>
      </c>
      <c r="D196" s="4" t="inlineStr">
        <is>
          <t>Partner, Banking and Finance</t>
        </is>
      </c>
      <c r="E196" s="4" t="inlineStr">
        <is>
          <t>sam.clarke@shepwedd.com</t>
        </is>
      </c>
      <c r="F196" s="4" t="inlineStr">
        <is>
          <t>+44 (0)20 7429 4681, +44 (0)770 235 1526</t>
        </is>
      </c>
      <c r="G196" s="6" t="inlineStr">
        <is>
          <t>2026-02-11</t>
        </is>
      </c>
      <c r="H196" s="6" t="inlineStr">
        <is>
          <t>2026-03-17</t>
        </is>
      </c>
      <c r="I196" s="6" t="n">
        <v>3</v>
      </c>
      <c r="J196" s="6" t="n">
        <v>0</v>
      </c>
      <c r="K196" s="4" t="inlineStr">
        <is>
          <t>Direct correspondence</t>
        </is>
      </c>
      <c r="L196" s="8" t="inlineStr">
        <is>
          <t>Lead partner acting for REL on the 1 Westmoreland Road, Bromley financing</t>
        </is>
      </c>
    </row>
    <row r="197">
      <c r="A197" s="4" t="inlineStr">
        <is>
          <t>Chris Mills</t>
        </is>
      </c>
      <c r="B197" s="12" t="inlineStr">
        <is>
          <t>Solicitor / Legal</t>
        </is>
      </c>
      <c r="C197" s="4" t="inlineStr">
        <is>
          <t>Shoosmiths LLP</t>
        </is>
      </c>
      <c r="D197" s="4" t="inlineStr"/>
      <c r="E197" s="4" t="inlineStr">
        <is>
          <t>chris.mills@shoosmiths.com</t>
        </is>
      </c>
      <c r="F197" s="4" t="inlineStr"/>
      <c r="G197" s="6" t="inlineStr">
        <is>
          <t>2026-02-11</t>
        </is>
      </c>
      <c r="H197" s="6" t="inlineStr">
        <is>
          <t>2026-02-11</t>
        </is>
      </c>
      <c r="I197" s="6" t="n">
        <v>0</v>
      </c>
      <c r="J197" s="6" t="n">
        <v>0</v>
      </c>
      <c r="K197" s="7" t="inlineStr">
        <is>
          <t>Named in a thread</t>
        </is>
      </c>
      <c r="L197" s="8" t="inlineStr">
        <is>
          <t>Shoosmiths quote for the 1 Westmoreland Road, Bromley deal</t>
        </is>
      </c>
    </row>
    <row r="198">
      <c r="A198" s="4" t="inlineStr">
        <is>
          <t>Sam Jadhav</t>
        </is>
      </c>
      <c r="B198" s="12" t="inlineStr">
        <is>
          <t>Solicitor / Legal</t>
        </is>
      </c>
      <c r="C198" s="4" t="inlineStr">
        <is>
          <t>Shoosmiths LLP</t>
        </is>
      </c>
      <c r="D198" s="4" t="inlineStr"/>
      <c r="E198" s="4" t="inlineStr">
        <is>
          <t>sam.jadhav@shoosmiths.com</t>
        </is>
      </c>
      <c r="F198" s="4" t="inlineStr"/>
      <c r="G198" s="6" t="inlineStr">
        <is>
          <t>2026-02-11</t>
        </is>
      </c>
      <c r="H198" s="6" t="inlineStr">
        <is>
          <t>2026-02-11</t>
        </is>
      </c>
      <c r="I198" s="6" t="n">
        <v>0</v>
      </c>
      <c r="J198" s="6" t="n">
        <v>0</v>
      </c>
      <c r="K198" s="7" t="inlineStr">
        <is>
          <t>Named in a thread</t>
        </is>
      </c>
      <c r="L198" s="8" t="inlineStr">
        <is>
          <t>Shoosmiths quote for the 1 Westmoreland Road, Bromley deal</t>
        </is>
      </c>
    </row>
    <row r="199">
      <c r="A199" s="4" t="inlineStr">
        <is>
          <t>Chris Theodosiou</t>
        </is>
      </c>
      <c r="B199" s="13" t="inlineStr">
        <is>
          <t>Valuer / Property Professional</t>
        </is>
      </c>
      <c r="C199" s="4" t="inlineStr">
        <is>
          <t>Allsop LLP</t>
        </is>
      </c>
      <c r="D199" s="4" t="inlineStr">
        <is>
          <t>Partner, Residential Valuation</t>
        </is>
      </c>
      <c r="E199" s="4" t="inlineStr">
        <is>
          <t>chris.theodosiou@allsop.co.uk</t>
        </is>
      </c>
      <c r="F199" s="4" t="inlineStr">
        <is>
          <t>020 7344 2654, 07918 284861</t>
        </is>
      </c>
      <c r="G199" s="6" t="inlineStr">
        <is>
          <t>2026-07-27</t>
        </is>
      </c>
      <c r="H199" s="6" t="inlineStr">
        <is>
          <t>2026-07-28</t>
        </is>
      </c>
      <c r="I199" s="6" t="n">
        <v>2</v>
      </c>
      <c r="J199" s="6" t="n">
        <v>0</v>
      </c>
      <c r="K199" s="4" t="inlineStr">
        <is>
          <t>Direct correspondence</t>
        </is>
      </c>
      <c r="L199" s="8" t="inlineStr">
        <is>
          <t>Valuer on the Askew Road bridge security</t>
        </is>
      </c>
    </row>
    <row r="200">
      <c r="A200" s="4" t="inlineStr">
        <is>
          <t>Josh Ware</t>
        </is>
      </c>
      <c r="B200" s="13" t="inlineStr">
        <is>
          <t>Valuer / Property Professional</t>
        </is>
      </c>
      <c r="C200" s="4" t="inlineStr">
        <is>
          <t>Allsop LLP</t>
        </is>
      </c>
      <c r="D200" s="4" t="inlineStr"/>
      <c r="E200" s="4" t="inlineStr">
        <is>
          <t>josh.ware@allsop.co.uk</t>
        </is>
      </c>
      <c r="F200" s="4" t="inlineStr"/>
      <c r="G200" s="6" t="inlineStr">
        <is>
          <t>2026-07-27</t>
        </is>
      </c>
      <c r="H200" s="6" t="inlineStr">
        <is>
          <t>2026-07-28</t>
        </is>
      </c>
      <c r="I200" s="6" t="n">
        <v>0</v>
      </c>
      <c r="J200" s="6" t="n">
        <v>0</v>
      </c>
      <c r="K200" s="7" t="inlineStr">
        <is>
          <t>Named in a thread</t>
        </is>
      </c>
      <c r="L200" s="8" t="inlineStr">
        <is>
          <t>Allsop valuation team on Askew Road, alongside Chris Theodosiou</t>
        </is>
      </c>
    </row>
    <row r="201">
      <c r="A201" s="4" t="inlineStr">
        <is>
          <t>Karen Callahan</t>
        </is>
      </c>
      <c r="B201" s="13" t="inlineStr">
        <is>
          <t>Valuer / Property Professional</t>
        </is>
      </c>
      <c r="C201" s="4" t="inlineStr">
        <is>
          <t>Knight Frank</t>
        </is>
      </c>
      <c r="D201" s="4" t="inlineStr">
        <is>
          <t>Partner, Head of Hotels - Valuation &amp; Advisory</t>
        </is>
      </c>
      <c r="E201" s="4" t="inlineStr">
        <is>
          <t>karen.callahan@knightfrank.com</t>
        </is>
      </c>
      <c r="F201" s="4" t="inlineStr">
        <is>
          <t>+44 20 7861 1086</t>
        </is>
      </c>
      <c r="G201" s="6" t="inlineStr">
        <is>
          <t>2026-07-27</t>
        </is>
      </c>
      <c r="H201" s="6" t="inlineStr">
        <is>
          <t>2026-07-27</t>
        </is>
      </c>
      <c r="I201" s="6" t="n">
        <v>0</v>
      </c>
      <c r="J201" s="6" t="n">
        <v>0</v>
      </c>
      <c r="K201" s="7" t="inlineStr">
        <is>
          <t>Named in a thread</t>
        </is>
      </c>
      <c r="L201" s="8" t="inlineStr">
        <is>
          <t>Knight Frank hotel valuation contact for hospitality collateral</t>
        </is>
      </c>
    </row>
    <row r="202">
      <c r="A202" s="4" t="inlineStr">
        <is>
          <t>Greg Stalcup</t>
        </is>
      </c>
      <c r="B202" s="13" t="inlineStr">
        <is>
          <t>Valuer / Property Professional</t>
        </is>
      </c>
      <c r="C202" s="4" t="inlineStr">
        <is>
          <t>Levy Real Estate LLP</t>
        </is>
      </c>
      <c r="D202" s="4" t="inlineStr"/>
      <c r="E202" s="4" t="inlineStr">
        <is>
          <t>greg.stalcup@levyrealestate.co.uk</t>
        </is>
      </c>
      <c r="F202" s="4" t="inlineStr"/>
      <c r="G202" s="6" t="inlineStr">
        <is>
          <t>2025-12-17</t>
        </is>
      </c>
      <c r="H202" s="6" t="inlineStr">
        <is>
          <t>2026-02-18</t>
        </is>
      </c>
      <c r="I202" s="6" t="n">
        <v>0</v>
      </c>
      <c r="J202" s="6" t="n">
        <v>0</v>
      </c>
      <c r="K202" s="7" t="inlineStr">
        <is>
          <t>Named in a thread</t>
        </is>
      </c>
      <c r="L202" s="8" t="inlineStr">
        <is>
          <t>Quoted From/To headers throughout the forwarded 'FW: TG Jones, Uxbridge' chain 18/02/2026 — agent acting for the DNA Uxbridge landlord opposite John Loveday.</t>
        </is>
      </c>
    </row>
    <row r="203">
      <c r="A203" s="4" t="inlineStr">
        <is>
          <t>Oliver Chivers</t>
        </is>
      </c>
      <c r="B203" s="13" t="inlineStr">
        <is>
          <t>Valuer / Property Professional</t>
        </is>
      </c>
      <c r="C203" s="4" t="inlineStr">
        <is>
          <t>Montagu Evans</t>
        </is>
      </c>
      <c r="D203" s="4" t="inlineStr"/>
      <c r="E203" s="4" t="inlineStr">
        <is>
          <t>oliver.chivers@montagu-evans.co.uk</t>
        </is>
      </c>
      <c r="F203" s="4" t="inlineStr"/>
      <c r="G203" s="6" t="inlineStr">
        <is>
          <t>2026-07-01</t>
        </is>
      </c>
      <c r="H203" s="6" t="inlineStr">
        <is>
          <t>2026-07-02</t>
        </is>
      </c>
      <c r="I203" s="6" t="n">
        <v>1</v>
      </c>
      <c r="J203" s="6" t="n">
        <v>0</v>
      </c>
      <c r="K203" s="4" t="inlineStr">
        <is>
          <t>Direct correspondence</t>
        </is>
      </c>
      <c r="L203" s="8" t="inlineStr">
        <is>
          <t>Quoted the valuation fee for Farriers Yard &amp; Forge</t>
        </is>
      </c>
    </row>
    <row r="204">
      <c r="A204" s="4" t="inlineStr">
        <is>
          <t>Imogen Colegrave</t>
        </is>
      </c>
      <c r="B204" s="13" t="inlineStr">
        <is>
          <t>Valuer / Property Professional</t>
        </is>
      </c>
      <c r="C204" s="4" t="inlineStr">
        <is>
          <t>Newmark</t>
        </is>
      </c>
      <c r="D204" s="4" t="inlineStr"/>
      <c r="E204" s="4" t="inlineStr">
        <is>
          <t>imogen.colegrave@nmrk.com</t>
        </is>
      </c>
      <c r="F204" s="4" t="inlineStr"/>
      <c r="G204" s="6" t="inlineStr">
        <is>
          <t>2026-02-06</t>
        </is>
      </c>
      <c r="H204" s="6" t="inlineStr">
        <is>
          <t>2026-02-11</t>
        </is>
      </c>
      <c r="I204" s="6" t="n">
        <v>0</v>
      </c>
      <c r="J204" s="6" t="n">
        <v>0</v>
      </c>
      <c r="K204" s="7" t="inlineStr">
        <is>
          <t>Named in a thread</t>
        </is>
      </c>
      <c r="L204" s="8" t="inlineStr">
        <is>
          <t>On the 1 Westmoreland Road Bromley valuation thread</t>
        </is>
      </c>
    </row>
    <row r="205">
      <c r="A205" s="4" t="inlineStr">
        <is>
          <t>Liana Psarros</t>
        </is>
      </c>
      <c r="B205" s="13" t="inlineStr">
        <is>
          <t>Valuer / Property Professional</t>
        </is>
      </c>
      <c r="C205" s="4" t="inlineStr">
        <is>
          <t>Newmark</t>
        </is>
      </c>
      <c r="D205" s="4" t="inlineStr"/>
      <c r="E205" s="4" t="inlineStr">
        <is>
          <t>liana.psarros@nmrk.com</t>
        </is>
      </c>
      <c r="F205" s="4" t="inlineStr"/>
      <c r="G205" s="6" t="inlineStr">
        <is>
          <t>2026-03-02</t>
        </is>
      </c>
      <c r="H205" s="6" t="inlineStr">
        <is>
          <t>2026-03-24</t>
        </is>
      </c>
      <c r="I205" s="6" t="n">
        <v>0</v>
      </c>
      <c r="J205" s="6" t="n">
        <v>0</v>
      </c>
      <c r="K205" s="7" t="inlineStr">
        <is>
          <t>Named in a thread</t>
        </is>
      </c>
      <c r="L205" s="8" t="inlineStr">
        <is>
          <t>Handled the Bromley valuation fee quote</t>
        </is>
      </c>
    </row>
    <row r="206">
      <c r="A206" s="4" t="inlineStr">
        <is>
          <t>Newmark UK Credit Control</t>
        </is>
      </c>
      <c r="B206" s="13" t="inlineStr">
        <is>
          <t>Valuer / Property Professional</t>
        </is>
      </c>
      <c r="C206" s="4" t="inlineStr">
        <is>
          <t>Newmark</t>
        </is>
      </c>
      <c r="D206" s="4" t="inlineStr"/>
      <c r="E206" s="4" t="inlineStr">
        <is>
          <t>ukcreditcontrol@nmrk.com</t>
        </is>
      </c>
      <c r="F206" s="4" t="inlineStr"/>
      <c r="G206" s="6" t="inlineStr">
        <is>
          <t>2026-03-24</t>
        </is>
      </c>
      <c r="H206" s="6" t="inlineStr">
        <is>
          <t>2026-03-24</t>
        </is>
      </c>
      <c r="I206" s="6" t="n">
        <v>0</v>
      </c>
      <c r="J206" s="6" t="n">
        <v>0</v>
      </c>
      <c r="K206" s="7" t="inlineStr">
        <is>
          <t>Named in a thread</t>
        </is>
      </c>
      <c r="L206" s="8" t="inlineStr">
        <is>
          <t>Newmark billing contact for the Bromley valuation fee</t>
        </is>
      </c>
    </row>
    <row r="207">
      <c r="A207" s="4" t="inlineStr">
        <is>
          <t>Robert Davies</t>
        </is>
      </c>
      <c r="B207" s="13" t="inlineStr">
        <is>
          <t>Valuer / Property Professional</t>
        </is>
      </c>
      <c r="C207" s="4" t="inlineStr">
        <is>
          <t>Newmark</t>
        </is>
      </c>
      <c r="D207" s="4" t="inlineStr">
        <is>
          <t>Partner, Newmark Planning and Development</t>
        </is>
      </c>
      <c r="E207" s="4" t="inlineStr">
        <is>
          <t>robert.davies@nmrk.com</t>
        </is>
      </c>
      <c r="F207" s="4" t="inlineStr">
        <is>
          <t>+44 794 458 4053, 020 7333 6207</t>
        </is>
      </c>
      <c r="G207" s="6" t="inlineStr">
        <is>
          <t>2026-02-06</t>
        </is>
      </c>
      <c r="H207" s="6" t="inlineStr">
        <is>
          <t>2026-04-08</t>
        </is>
      </c>
      <c r="I207" s="6" t="n">
        <v>7</v>
      </c>
      <c r="J207" s="6" t="n">
        <v>0</v>
      </c>
      <c r="K207" s="4" t="inlineStr">
        <is>
          <t>Direct correspondence</t>
        </is>
      </c>
      <c r="L207" s="8" t="inlineStr">
        <is>
          <t>Lead valuer on 1 Westmoreland Road, Bromley</t>
        </is>
      </c>
    </row>
    <row r="208">
      <c r="A208" s="4" t="inlineStr">
        <is>
          <t>Rosanna Cole</t>
        </is>
      </c>
      <c r="B208" s="13" t="inlineStr">
        <is>
          <t>Valuer / Property Professional</t>
        </is>
      </c>
      <c r="C208" s="4" t="inlineStr">
        <is>
          <t>Newmark</t>
        </is>
      </c>
      <c r="D208" s="4" t="inlineStr">
        <is>
          <t>Associate, Newmark Planning and Development</t>
        </is>
      </c>
      <c r="E208" s="4" t="inlineStr">
        <is>
          <t>rosanna.cole@nmrk.com</t>
        </is>
      </c>
      <c r="F208" s="4" t="inlineStr">
        <is>
          <t>+44 7387537081, 020 3486 3667</t>
        </is>
      </c>
      <c r="G208" s="6" t="inlineStr">
        <is>
          <t>2026-02-06</t>
        </is>
      </c>
      <c r="H208" s="6" t="inlineStr">
        <is>
          <t>2026-04-08</t>
        </is>
      </c>
      <c r="I208" s="6" t="n">
        <v>7</v>
      </c>
      <c r="J208" s="6" t="n">
        <v>0</v>
      </c>
      <c r="K208" s="4" t="inlineStr">
        <is>
          <t>Direct correspondence</t>
        </is>
      </c>
      <c r="L208" s="8" t="inlineStr">
        <is>
          <t>Working draft valuation figures for 1 Westmoreland Road, Bromley</t>
        </is>
      </c>
    </row>
    <row r="209">
      <c r="A209" s="4" t="inlineStr">
        <is>
          <t>John Loveday</t>
        </is>
      </c>
      <c r="B209" s="13" t="inlineStr">
        <is>
          <t>Valuer / Property Professional</t>
        </is>
      </c>
      <c r="C209" s="4" t="inlineStr">
        <is>
          <t>Smith Price RRG</t>
        </is>
      </c>
      <c r="D209" s="4" t="inlineStr"/>
      <c r="E209" s="4" t="inlineStr">
        <is>
          <t>johnloveday@sprrg.co.uk</t>
        </is>
      </c>
      <c r="F209" s="4" t="inlineStr">
        <is>
          <t>+44 20 7409 2100, +44 7778 158125</t>
        </is>
      </c>
      <c r="G209" s="6" t="inlineStr">
        <is>
          <t>2025-12-17</t>
        </is>
      </c>
      <c r="H209" s="6" t="inlineStr">
        <is>
          <t>2026-02-18</t>
        </is>
      </c>
      <c r="I209" s="6" t="n">
        <v>0</v>
      </c>
      <c r="J209" s="6" t="n">
        <v>0</v>
      </c>
      <c r="K209" s="7" t="inlineStr">
        <is>
          <t>Named in a thread</t>
        </is>
      </c>
      <c r="L209" s="8" t="inlineStr">
        <is>
          <t>Quoted From headers and signature block throughout the forwarded 'FW: TG Jones, Uxbridge' chain 18/02/2026 — acting for the Post Office tenant against the DNA Uxbridge landlord.</t>
        </is>
      </c>
    </row>
    <row r="210">
      <c r="A210" s="4" t="inlineStr">
        <is>
          <t>Gordon Thrower</t>
        </is>
      </c>
      <c r="B210" s="14" t="inlineStr">
        <is>
          <t>Accountant / Tax</t>
        </is>
      </c>
      <c r="C210" s="4" t="inlineStr">
        <is>
          <t>MHA</t>
        </is>
      </c>
      <c r="D210" s="4" t="inlineStr"/>
      <c r="E210" s="4" t="inlineStr">
        <is>
          <t>gordon.thrower@mha.co.uk</t>
        </is>
      </c>
      <c r="F210" s="4" t="inlineStr"/>
      <c r="G210" s="6" t="inlineStr">
        <is>
          <t>2026-06-17</t>
        </is>
      </c>
      <c r="H210" s="6" t="inlineStr">
        <is>
          <t>2026-06-17</t>
        </is>
      </c>
      <c r="I210" s="6" t="n">
        <v>0</v>
      </c>
      <c r="J210" s="6" t="n">
        <v>0</v>
      </c>
      <c r="K210" s="7" t="inlineStr">
        <is>
          <t>Named in a thread</t>
        </is>
      </c>
      <c r="L210" s="8" t="inlineStr"/>
    </row>
    <row r="211">
      <c r="A211" s="4" t="inlineStr">
        <is>
          <t>MHA Payroll Services</t>
        </is>
      </c>
      <c r="B211" s="14" t="inlineStr">
        <is>
          <t>Accountant / Tax</t>
        </is>
      </c>
      <c r="C211" s="4" t="inlineStr">
        <is>
          <t>MHA</t>
        </is>
      </c>
      <c r="D211" s="4" t="inlineStr">
        <is>
          <t>Outsource Services</t>
        </is>
      </c>
      <c r="E211" s="4" t="inlineStr">
        <is>
          <t>macintyrehudsonpayrollservices@mha.co.uk</t>
        </is>
      </c>
      <c r="F211" s="4" t="inlineStr">
        <is>
          <t>+44 (0)121 237 1855, +44 (0)20 7429 4100</t>
        </is>
      </c>
      <c r="G211" s="6" t="inlineStr">
        <is>
          <t>2026-06-19</t>
        </is>
      </c>
      <c r="H211" s="6" t="inlineStr">
        <is>
          <t>2026-07-15</t>
        </is>
      </c>
      <c r="I211" s="6" t="n">
        <v>1</v>
      </c>
      <c r="J211" s="6" t="n">
        <v>0</v>
      </c>
      <c r="K211" s="4" t="inlineStr">
        <is>
          <t>Direct correspondence</t>
        </is>
      </c>
      <c r="L211" s="8" t="inlineStr">
        <is>
          <t>Runs REL Finance monthly payroll input</t>
        </is>
      </c>
    </row>
    <row r="212">
      <c r="A212" s="4" t="inlineStr">
        <is>
          <t>Neil Stern</t>
        </is>
      </c>
      <c r="B212" s="14" t="inlineStr">
        <is>
          <t>Accountant / Tax</t>
        </is>
      </c>
      <c r="C212" s="4" t="inlineStr">
        <is>
          <t>MHA</t>
        </is>
      </c>
      <c r="D212" s="4" t="inlineStr"/>
      <c r="E212" s="4" t="inlineStr">
        <is>
          <t>neil.stern@mha.co.uk</t>
        </is>
      </c>
      <c r="F212" s="4" t="inlineStr"/>
      <c r="G212" s="6" t="inlineStr">
        <is>
          <t>2025-01-27</t>
        </is>
      </c>
      <c r="H212" s="6" t="inlineStr">
        <is>
          <t>2026-07-21</t>
        </is>
      </c>
      <c r="I212" s="6" t="n">
        <v>0</v>
      </c>
      <c r="J212" s="6" t="n">
        <v>0</v>
      </c>
      <c r="K212" s="7" t="inlineStr">
        <is>
          <t>Named in a thread</t>
        </is>
      </c>
      <c r="L212" s="8" t="inlineStr">
        <is>
          <t>Senior MHA contact on REL management accounts and the DNA Uxbridge deal</t>
        </is>
      </c>
    </row>
    <row r="213">
      <c r="A213" s="4" t="inlineStr">
        <is>
          <t>Selena Mariposa</t>
        </is>
      </c>
      <c r="B213" s="14" t="inlineStr">
        <is>
          <t>Accountant / Tax</t>
        </is>
      </c>
      <c r="C213" s="4" t="inlineStr">
        <is>
          <t>MHA</t>
        </is>
      </c>
      <c r="D213" s="4" t="inlineStr"/>
      <c r="E213" s="4" t="inlineStr">
        <is>
          <t>selena.mariposa@mha.co.uk</t>
        </is>
      </c>
      <c r="F213" s="4" t="inlineStr"/>
      <c r="G213" s="6" t="inlineStr">
        <is>
          <t>2026-06-17</t>
        </is>
      </c>
      <c r="H213" s="6" t="inlineStr">
        <is>
          <t>2026-06-17</t>
        </is>
      </c>
      <c r="I213" s="6" t="n">
        <v>0</v>
      </c>
      <c r="J213" s="6" t="n">
        <v>0</v>
      </c>
      <c r="K213" s="7" t="inlineStr">
        <is>
          <t>Named in a thread</t>
        </is>
      </c>
      <c r="L213" s="8" t="inlineStr"/>
    </row>
    <row r="214">
      <c r="A214" s="4" t="inlineStr">
        <is>
          <t>Taimur Sultan</t>
        </is>
      </c>
      <c r="B214" s="14" t="inlineStr">
        <is>
          <t>Accountant / Tax</t>
        </is>
      </c>
      <c r="C214" s="4" t="inlineStr">
        <is>
          <t>MHA</t>
        </is>
      </c>
      <c r="D214" s="4" t="inlineStr">
        <is>
          <t>Accounts Manager</t>
        </is>
      </c>
      <c r="E214" s="4" t="inlineStr">
        <is>
          <t>taimur.sultan@mha.co.uk</t>
        </is>
      </c>
      <c r="F214" s="4" t="inlineStr">
        <is>
          <t>+44 (0)204 546 6050, +44 (0)204 5466050, +44(0)204 5466050</t>
        </is>
      </c>
      <c r="G214" s="6" t="inlineStr">
        <is>
          <t>2025-01-27</t>
        </is>
      </c>
      <c r="H214" s="6" t="inlineStr">
        <is>
          <t>2026-07-21</t>
        </is>
      </c>
      <c r="I214" s="6" t="n">
        <v>28</v>
      </c>
      <c r="J214" s="6" t="n">
        <v>1</v>
      </c>
      <c r="K214" s="4" t="inlineStr">
        <is>
          <t>Direct correspondence</t>
        </is>
      </c>
      <c r="L214" s="8" t="inlineStr">
        <is>
          <t>Prepares REL's quarterly management accounts - day-to-day MHA contact</t>
        </is>
      </c>
    </row>
    <row r="215">
      <c r="A215" s="4" t="inlineStr">
        <is>
          <t>Rob</t>
        </is>
      </c>
      <c r="B215" s="15" t="inlineStr">
        <is>
          <t>Service Provider</t>
        </is>
      </c>
      <c r="C215" s="4" t="inlineStr">
        <is>
          <t>Feed.fm</t>
        </is>
      </c>
      <c r="D215" s="4" t="inlineStr"/>
      <c r="E215" s="4" t="inlineStr">
        <is>
          <t>rob@feed.fm</t>
        </is>
      </c>
      <c r="F215" s="4" t="inlineStr"/>
      <c r="G215" s="6" t="inlineStr">
        <is>
          <t>2026-07-22</t>
        </is>
      </c>
      <c r="H215" s="6" t="inlineStr">
        <is>
          <t>2026-07-22</t>
        </is>
      </c>
      <c r="I215" s="6" t="n">
        <v>1</v>
      </c>
      <c r="J215" s="6" t="n">
        <v>0</v>
      </c>
      <c r="K215" s="4" t="inlineStr">
        <is>
          <t>Direct correspondence</t>
        </is>
      </c>
      <c r="L215" s="8" t="inlineStr">
        <is>
          <t>Replied to an Adaptr (Feed.fm) music licensing web enquiry.</t>
        </is>
      </c>
    </row>
    <row r="216">
      <c r="A216" s="4" t="inlineStr">
        <is>
          <t>Tyler Sear</t>
        </is>
      </c>
      <c r="B216" s="15" t="inlineStr">
        <is>
          <t>Service Provider</t>
        </is>
      </c>
      <c r="C216" s="4" t="inlineStr">
        <is>
          <t>Green Cardinal Design</t>
        </is>
      </c>
      <c r="D216" s="4" t="inlineStr">
        <is>
          <t>Founder</t>
        </is>
      </c>
      <c r="E216" s="4" t="inlineStr">
        <is>
          <t>tyler@green-cardinaldesign.com</t>
        </is>
      </c>
      <c r="F216" s="4" t="inlineStr">
        <is>
          <t>07881941338, 07881 941338</t>
        </is>
      </c>
      <c r="G216" s="6" t="inlineStr">
        <is>
          <t>2026-04-01</t>
        </is>
      </c>
      <c r="H216" s="6" t="inlineStr">
        <is>
          <t>2026-06-16</t>
        </is>
      </c>
      <c r="I216" s="6" t="n">
        <v>15</v>
      </c>
      <c r="J216" s="6" t="n">
        <v>0</v>
      </c>
      <c r="K216" s="4" t="inlineStr">
        <is>
          <t>Direct correspondence</t>
        </is>
      </c>
      <c r="L216" s="8" t="inlineStr">
        <is>
          <t>Builds and maintains the REL Finance website; sends monthly traffic analytics</t>
        </is>
      </c>
    </row>
    <row r="217">
      <c r="A217" s="4" t="inlineStr">
        <is>
          <t>Office of Financial Sanctions Implementation</t>
        </is>
      </c>
      <c r="B217" s="15" t="inlineStr">
        <is>
          <t>Service Provider</t>
        </is>
      </c>
      <c r="C217" s="4" t="inlineStr">
        <is>
          <t>HM Treasury</t>
        </is>
      </c>
      <c r="D217" s="4" t="inlineStr"/>
      <c r="E217" s="4" t="inlineStr">
        <is>
          <t>ofsi@hmtreasury.gov.uk</t>
        </is>
      </c>
      <c r="F217" s="4" t="inlineStr"/>
      <c r="G217" s="6" t="inlineStr">
        <is>
          <t>2026-03-18</t>
        </is>
      </c>
      <c r="H217" s="6" t="inlineStr">
        <is>
          <t>2026-05-11</t>
        </is>
      </c>
      <c r="I217" s="6" t="n">
        <v>0</v>
      </c>
      <c r="J217" s="6" t="n">
        <v>0</v>
      </c>
      <c r="K217" s="7" t="inlineStr">
        <is>
          <t>Named in a thread</t>
        </is>
      </c>
      <c r="L217" s="8" t="inlineStr">
        <is>
          <t>HM Treasury sanctions unit handling REL's OFSI submission INT/2025/8106728</t>
        </is>
      </c>
    </row>
    <row r="218">
      <c r="A218" s="4" t="inlineStr">
        <is>
          <t>Laurel Weikert</t>
        </is>
      </c>
      <c r="B218" s="15" t="inlineStr">
        <is>
          <t>Service Provider</t>
        </is>
      </c>
      <c r="C218" s="4" t="inlineStr">
        <is>
          <t>Rippling</t>
        </is>
      </c>
      <c r="D218" s="4" t="inlineStr">
        <is>
          <t>Account Executive</t>
        </is>
      </c>
      <c r="E218" s="4" t="inlineStr">
        <is>
          <t>laurel.j.weikert@rippling.com</t>
        </is>
      </c>
      <c r="F218" s="4" t="inlineStr"/>
      <c r="G218" s="6" t="inlineStr">
        <is>
          <t>2026-05-15</t>
        </is>
      </c>
      <c r="H218" s="6" t="inlineStr">
        <is>
          <t>2026-05-18</t>
        </is>
      </c>
      <c r="I218" s="6" t="n">
        <v>2</v>
      </c>
      <c r="J218" s="6" t="n">
        <v>0</v>
      </c>
      <c r="K218" s="4" t="inlineStr">
        <is>
          <t>Direct correspondence</t>
        </is>
      </c>
      <c r="L218" s="8" t="inlineStr">
        <is>
          <t>Rippling HR/payroll platform sales rep prospecting REL</t>
        </is>
      </c>
    </row>
    <row r="219">
      <c r="A219" s="4" t="inlineStr">
        <is>
          <t>Benji Dymant</t>
        </is>
      </c>
      <c r="B219" s="15" t="inlineStr">
        <is>
          <t>Service Provider</t>
        </is>
      </c>
      <c r="C219" s="4" t="inlineStr">
        <is>
          <t>Teneo</t>
        </is>
      </c>
      <c r="D219" s="4" t="inlineStr">
        <is>
          <t>Senior Managing Director</t>
        </is>
      </c>
      <c r="E219" s="4" t="inlineStr">
        <is>
          <t>benji.dymant@teneo.com</t>
        </is>
      </c>
      <c r="F219" s="4" t="inlineStr"/>
      <c r="G219" s="6" t="inlineStr">
        <is>
          <t>2026-04-14</t>
        </is>
      </c>
      <c r="H219" s="6" t="inlineStr">
        <is>
          <t>2026-04-14</t>
        </is>
      </c>
      <c r="I219" s="6" t="n">
        <v>1</v>
      </c>
      <c r="J219" s="6" t="n">
        <v>0</v>
      </c>
      <c r="K219" s="4" t="inlineStr">
        <is>
          <t>Direct correspondence</t>
        </is>
      </c>
      <c r="L219" s="8" t="inlineStr">
        <is>
          <t>Teneo advisory on the OFSI sanctions licence submission INT/2025/8106728</t>
        </is>
      </c>
    </row>
    <row r="220">
      <c r="A220" s="4" t="inlineStr">
        <is>
          <t>Rebecca Leeser</t>
        </is>
      </c>
      <c r="B220" s="15" t="inlineStr">
        <is>
          <t>Service Provider</t>
        </is>
      </c>
      <c r="C220" s="4" t="inlineStr">
        <is>
          <t>Teneo</t>
        </is>
      </c>
      <c r="D220" s="4" t="inlineStr"/>
      <c r="E220" s="4" t="inlineStr">
        <is>
          <t>rebecca.leeser@teneo.com</t>
        </is>
      </c>
      <c r="F220" s="4" t="inlineStr"/>
      <c r="G220" s="6" t="inlineStr">
        <is>
          <t>2026-04-14</t>
        </is>
      </c>
      <c r="H220" s="6" t="inlineStr">
        <is>
          <t>2026-04-14</t>
        </is>
      </c>
      <c r="I220" s="6" t="n">
        <v>0</v>
      </c>
      <c r="J220" s="6" t="n">
        <v>0</v>
      </c>
      <c r="K220" s="7" t="inlineStr">
        <is>
          <t>Named in a thread</t>
        </is>
      </c>
      <c r="L220" s="8" t="inlineStr">
        <is>
          <t>Teneo team on the OFSI sanctions licence submission</t>
        </is>
      </c>
    </row>
    <row r="221">
      <c r="A221" s="4" t="inlineStr">
        <is>
          <t>Tashin Morjaria</t>
        </is>
      </c>
      <c r="B221" s="16" t="inlineStr">
        <is>
          <t>Internal (REL Finance)</t>
        </is>
      </c>
      <c r="C221" s="4" t="inlineStr">
        <is>
          <t>Morka Group</t>
        </is>
      </c>
      <c r="D221" s="4" t="inlineStr">
        <is>
          <t>Director</t>
        </is>
      </c>
      <c r="E221" s="4" t="inlineStr">
        <is>
          <t>tashin@morkagroup.com</t>
        </is>
      </c>
      <c r="F221" s="4" t="inlineStr"/>
      <c r="G221" s="6" t="inlineStr">
        <is>
          <t>2025-02-04</t>
        </is>
      </c>
      <c r="H221" s="6" t="inlineStr">
        <is>
          <t>2026-07-22</t>
        </is>
      </c>
      <c r="I221" s="6" t="n">
        <v>2</v>
      </c>
      <c r="J221" s="6" t="n">
        <v>0</v>
      </c>
      <c r="K221" s="4" t="inlineStr">
        <is>
          <t>Direct correspondence</t>
        </is>
      </c>
      <c r="L221" s="8" t="inlineStr">
        <is>
          <t>REL Finance Director writing from his Morka Group address</t>
        </is>
      </c>
    </row>
    <row r="222">
      <c r="A222" s="4" t="inlineStr">
        <is>
          <t>Chloe Jiang</t>
        </is>
      </c>
      <c r="B222" s="16" t="inlineStr">
        <is>
          <t>Internal (REL Finance)</t>
        </is>
      </c>
      <c r="C222" s="4" t="inlineStr">
        <is>
          <t>REL Finance</t>
        </is>
      </c>
      <c r="D222" s="4" t="inlineStr">
        <is>
          <t>Head of Investor Relations</t>
        </is>
      </c>
      <c r="E222" s="4" t="inlineStr">
        <is>
          <t>info@relfinance.co.uk</t>
        </is>
      </c>
      <c r="F222" s="4" t="inlineStr">
        <is>
          <t>+44 7788 284403</t>
        </is>
      </c>
      <c r="G222" s="6" t="inlineStr">
        <is>
          <t>2026-07-22</t>
        </is>
      </c>
      <c r="H222" s="6" t="inlineStr">
        <is>
          <t>2026-07-22</t>
        </is>
      </c>
      <c r="I222" s="6" t="n">
        <v>1</v>
      </c>
      <c r="J222" s="6" t="n">
        <v>0</v>
      </c>
      <c r="K222" s="4" t="inlineStr">
        <is>
          <t>Direct correspondence</t>
        </is>
      </c>
      <c r="L222" s="8" t="inlineStr">
        <is>
          <t>REL general enquiries inbox; forwarded the Priory Park Hotel, Kilburn development exit bridge enquiry</t>
        </is>
      </c>
    </row>
    <row r="223">
      <c r="A223" s="4" t="inlineStr">
        <is>
          <t>Sophie Thornton</t>
        </is>
      </c>
      <c r="B223" s="16" t="inlineStr">
        <is>
          <t>Internal (REL Finance)</t>
        </is>
      </c>
      <c r="C223" s="4" t="inlineStr">
        <is>
          <t>REL Finance</t>
        </is>
      </c>
      <c r="D223" s="4" t="inlineStr"/>
      <c r="E223" s="4" t="inlineStr">
        <is>
          <t>sophie@relfinance.co.uk</t>
        </is>
      </c>
      <c r="F223" s="4" t="inlineStr"/>
      <c r="G223" s="6" t="inlineStr">
        <is>
          <t>2025-10-06</t>
        </is>
      </c>
      <c r="H223" s="6" t="inlineStr">
        <is>
          <t>2026-02-18</t>
        </is>
      </c>
      <c r="I223" s="6" t="n">
        <v>1</v>
      </c>
      <c r="J223" s="6" t="n">
        <v>1</v>
      </c>
      <c r="K223" s="4" t="inlineStr">
        <is>
          <t>Direct correspondence</t>
        </is>
      </c>
      <c r="L223" s="8" t="inlineStr">
        <is>
          <t>REL colleague; Teams admin and Oryx 2 scheduled payment notifications</t>
        </is>
      </c>
    </row>
    <row r="224">
      <c r="A224" s="4" t="inlineStr">
        <is>
          <t>Sumeer Bose</t>
        </is>
      </c>
      <c r="B224" s="16" t="inlineStr">
        <is>
          <t>Internal (REL Finance)</t>
        </is>
      </c>
      <c r="C224" s="4" t="inlineStr">
        <is>
          <t>REL Finance</t>
        </is>
      </c>
      <c r="D224" s="4" t="inlineStr">
        <is>
          <t>Director</t>
        </is>
      </c>
      <c r="E224" s="4" t="inlineStr">
        <is>
          <t>bosesumeer@gmail.com</t>
        </is>
      </c>
      <c r="F224" s="4" t="inlineStr"/>
      <c r="G224" s="6" t="inlineStr">
        <is>
          <t>2026-04-22</t>
        </is>
      </c>
      <c r="H224" s="6" t="inlineStr">
        <is>
          <t>2026-06-08</t>
        </is>
      </c>
      <c r="I224" s="6" t="n">
        <v>2</v>
      </c>
      <c r="J224" s="6" t="n">
        <v>0</v>
      </c>
      <c r="K224" s="4" t="inlineStr">
        <is>
          <t>Direct correspondence</t>
        </is>
      </c>
      <c r="L224" s="8" t="inlineStr">
        <is>
          <t>Personal Gmail of REL director Sumeer Bose; used to forward domain/SaaS admin notices</t>
        </is>
      </c>
    </row>
    <row r="225">
      <c r="A225" s="4" t="inlineStr">
        <is>
          <t>Sumeer Bose</t>
        </is>
      </c>
      <c r="B225" s="16" t="inlineStr">
        <is>
          <t>Internal (REL Finance)</t>
        </is>
      </c>
      <c r="C225" s="4" t="inlineStr">
        <is>
          <t>REL Finance</t>
        </is>
      </c>
      <c r="D225" s="4" t="inlineStr">
        <is>
          <t>Director</t>
        </is>
      </c>
      <c r="E225" s="4" t="inlineStr">
        <is>
          <t>sumeer@relfinance.co.uk</t>
        </is>
      </c>
      <c r="F225" s="4" t="inlineStr">
        <is>
          <t>+44 7825216771, +44 7825 216771</t>
        </is>
      </c>
      <c r="G225" s="6" t="inlineStr">
        <is>
          <t>2025-01-21</t>
        </is>
      </c>
      <c r="H225" s="6" t="inlineStr">
        <is>
          <t>2026-07-28</t>
        </is>
      </c>
      <c r="I225" s="6" t="n">
        <v>476</v>
      </c>
      <c r="J225" s="6" t="n">
        <v>171</v>
      </c>
      <c r="K225" s="4" t="inlineStr">
        <is>
          <t>Direct correspondence</t>
        </is>
      </c>
      <c r="L225" s="8" t="inlineStr">
        <is>
          <t>REL director; fronts origination, terms and loan management across the book</t>
        </is>
      </c>
    </row>
    <row r="226">
      <c r="A226" s="4" t="inlineStr">
        <is>
          <t>Tashin Morjaria</t>
        </is>
      </c>
      <c r="B226" s="16" t="inlineStr">
        <is>
          <t>Internal (REL Finance)</t>
        </is>
      </c>
      <c r="C226" s="4" t="inlineStr">
        <is>
          <t>REL Finance</t>
        </is>
      </c>
      <c r="D226" s="4" t="inlineStr">
        <is>
          <t>Director</t>
        </is>
      </c>
      <c r="E226" s="4" t="inlineStr">
        <is>
          <t>tashin@relfinance.co.uk</t>
        </is>
      </c>
      <c r="F226" s="4" t="inlineStr">
        <is>
          <t>+44 7739555265, +44 7739 555265</t>
        </is>
      </c>
      <c r="G226" s="6" t="inlineStr">
        <is>
          <t>2025-01-21</t>
        </is>
      </c>
      <c r="H226" s="6" t="inlineStr">
        <is>
          <t>2026-07-28</t>
        </is>
      </c>
      <c r="I226" s="6" t="n">
        <v>276</v>
      </c>
      <c r="J226" s="6" t="n">
        <v>160</v>
      </c>
      <c r="K226" s="4" t="inlineStr">
        <is>
          <t>Direct correspondence</t>
        </is>
      </c>
      <c r="L226" s="8" t="inlineStr">
        <is>
          <t>REL director; fronts origination and deal execution across the book</t>
        </is>
      </c>
    </row>
    <row r="227">
      <c r="A227" s="4" t="inlineStr">
        <is>
          <t>Shyam Lakhani</t>
        </is>
      </c>
      <c r="B227" s="17" t="inlineStr">
        <is>
          <t>Personal / Other</t>
        </is>
      </c>
      <c r="C227" s="4" t="inlineStr">
        <is>
          <t>Department for Education</t>
        </is>
      </c>
      <c r="D227" s="4" t="inlineStr"/>
      <c r="E227" s="4" t="inlineStr">
        <is>
          <t>shyam.lakhani@education.gov.uk</t>
        </is>
      </c>
      <c r="F227" s="4" t="inlineStr"/>
      <c r="G227" s="6" t="inlineStr">
        <is>
          <t>2025-05-19</t>
        </is>
      </c>
      <c r="H227" s="6" t="inlineStr">
        <is>
          <t>2025-06-05</t>
        </is>
      </c>
      <c r="I227" s="6" t="n">
        <v>0</v>
      </c>
      <c r="J227" s="6" t="n">
        <v>5</v>
      </c>
      <c r="K227" s="4" t="inlineStr">
        <is>
          <t>Direct correspondence</t>
        </is>
      </c>
      <c r="L227" s="8" t="inlineStr">
        <is>
          <t>Mailbox owner's former Department for Education address, used for self-forwarded mail.</t>
        </is>
      </c>
    </row>
    <row r="228">
      <c r="A228" s="4" t="inlineStr">
        <is>
          <t>Abdul Rashid</t>
        </is>
      </c>
      <c r="B228" s="17" t="inlineStr">
        <is>
          <t>Personal / Other</t>
        </is>
      </c>
      <c r="C228" s="4" t="inlineStr"/>
      <c r="D228" s="4" t="inlineStr"/>
      <c r="E228" s="4" t="inlineStr">
        <is>
          <t>qabdul1rash1@gmail.com</t>
        </is>
      </c>
      <c r="F228" s="4" t="inlineStr"/>
      <c r="G228" s="6" t="inlineStr">
        <is>
          <t>2026-07-24</t>
        </is>
      </c>
      <c r="H228" s="6" t="inlineStr">
        <is>
          <t>2026-07-24</t>
        </is>
      </c>
      <c r="I228" s="6" t="n">
        <v>0</v>
      </c>
      <c r="J228" s="6" t="n">
        <v>1</v>
      </c>
      <c r="K228" s="4" t="inlineStr">
        <is>
          <t>Direct correspondence</t>
        </is>
      </c>
      <c r="L228" s="8" t="inlineStr">
        <is>
          <t>Recipient of Shyam's personal "bag radar log" file share</t>
        </is>
      </c>
    </row>
    <row r="229">
      <c r="A229" s="4" t="inlineStr">
        <is>
          <t>Anish Vora</t>
        </is>
      </c>
      <c r="B229" s="17" t="inlineStr">
        <is>
          <t>Personal / Other</t>
        </is>
      </c>
      <c r="C229" s="4" t="inlineStr"/>
      <c r="D229" s="4" t="inlineStr"/>
      <c r="E229" s="4" t="inlineStr">
        <is>
          <t>anishvora18@gmail.com</t>
        </is>
      </c>
      <c r="F229" s="4" t="inlineStr"/>
      <c r="G229" s="6" t="inlineStr">
        <is>
          <t>2025-06-24</t>
        </is>
      </c>
      <c r="H229" s="6" t="inlineStr">
        <is>
          <t>2025-06-24</t>
        </is>
      </c>
      <c r="I229" s="6" t="n">
        <v>0</v>
      </c>
      <c r="J229" s="6" t="n">
        <v>0</v>
      </c>
      <c r="K229" s="7" t="inlineStr">
        <is>
          <t>Named in a thread</t>
        </is>
      </c>
      <c r="L229" s="8" t="inlineStr"/>
    </row>
    <row r="230">
      <c r="A230" s="4" t="inlineStr">
        <is>
          <t>Chloe</t>
        </is>
      </c>
      <c r="B230" s="17" t="inlineStr">
        <is>
          <t>Personal / Other</t>
        </is>
      </c>
      <c r="C230" s="4" t="inlineStr"/>
      <c r="D230" s="4" t="inlineStr"/>
      <c r="E230" s="4" t="inlineStr">
        <is>
          <t>chloej0027@gmail.com</t>
        </is>
      </c>
      <c r="F230" s="4" t="inlineStr"/>
      <c r="G230" s="6" t="inlineStr">
        <is>
          <t>2026-07-07</t>
        </is>
      </c>
      <c r="H230" s="6" t="inlineStr">
        <is>
          <t>2026-07-07</t>
        </is>
      </c>
      <c r="I230" s="6" t="n">
        <v>0</v>
      </c>
      <c r="J230" s="6" t="n">
        <v>0</v>
      </c>
      <c r="K230" s="7" t="inlineStr">
        <is>
          <t>Named in a thread</t>
        </is>
      </c>
      <c r="L230" s="8" t="inlineStr"/>
    </row>
    <row r="231">
      <c r="A231" s="4" t="inlineStr">
        <is>
          <t>Darren Halcrow</t>
        </is>
      </c>
      <c r="B231" s="17" t="inlineStr">
        <is>
          <t>Personal / Other</t>
        </is>
      </c>
      <c r="C231" s="4" t="inlineStr"/>
      <c r="D231" s="4" t="inlineStr"/>
      <c r="E231" s="4" t="inlineStr">
        <is>
          <t>darren.halcrow@hotmail.co.uk</t>
        </is>
      </c>
      <c r="F231" s="4" t="inlineStr"/>
      <c r="G231" s="6" t="inlineStr">
        <is>
          <t>2026-07-24</t>
        </is>
      </c>
      <c r="H231" s="6" t="inlineStr">
        <is>
          <t>2026-07-24</t>
        </is>
      </c>
      <c r="I231" s="6" t="n">
        <v>0</v>
      </c>
      <c r="J231" s="6" t="n">
        <v>1</v>
      </c>
      <c r="K231" s="4" t="inlineStr">
        <is>
          <t>Direct correspondence</t>
        </is>
      </c>
      <c r="L231" s="8" t="inlineStr">
        <is>
          <t>Recipient of Shyam's personal "bag radar log" file share</t>
        </is>
      </c>
    </row>
    <row r="232">
      <c r="A232" s="4" t="inlineStr">
        <is>
          <t>Deepesh Thakrar</t>
        </is>
      </c>
      <c r="B232" s="17" t="inlineStr">
        <is>
          <t>Personal / Other</t>
        </is>
      </c>
      <c r="C232" s="4" t="inlineStr"/>
      <c r="D232" s="4" t="inlineStr"/>
      <c r="E232" s="4" t="inlineStr">
        <is>
          <t>dc.thakrar@gmail.com</t>
        </is>
      </c>
      <c r="F232" s="4" t="inlineStr"/>
      <c r="G232" s="6" t="inlineStr">
        <is>
          <t>2026-07-21</t>
        </is>
      </c>
      <c r="H232" s="6" t="inlineStr">
        <is>
          <t>2026-07-21</t>
        </is>
      </c>
      <c r="I232" s="6" t="n">
        <v>0</v>
      </c>
      <c r="J232" s="6" t="n">
        <v>0</v>
      </c>
      <c r="K232" s="7" t="inlineStr">
        <is>
          <t>Named in a thread</t>
        </is>
      </c>
      <c r="L232" s="8" t="inlineStr"/>
    </row>
    <row r="233">
      <c r="A233" s="4" t="inlineStr">
        <is>
          <t>Gary Brooks</t>
        </is>
      </c>
      <c r="B233" s="17" t="inlineStr">
        <is>
          <t>Personal / Other</t>
        </is>
      </c>
      <c r="C233" s="4" t="inlineStr"/>
      <c r="D233" s="4" t="inlineStr"/>
      <c r="E233" s="4" t="inlineStr">
        <is>
          <t>garyjbrooks@gmail.com</t>
        </is>
      </c>
      <c r="F233" s="4" t="inlineStr"/>
      <c r="G233" s="6" t="inlineStr">
        <is>
          <t>2026-07-24</t>
        </is>
      </c>
      <c r="H233" s="6" t="inlineStr">
        <is>
          <t>2026-07-24</t>
        </is>
      </c>
      <c r="I233" s="6" t="n">
        <v>0</v>
      </c>
      <c r="J233" s="6" t="n">
        <v>1</v>
      </c>
      <c r="K233" s="4" t="inlineStr">
        <is>
          <t>Direct correspondence</t>
        </is>
      </c>
      <c r="L233" s="8" t="inlineStr">
        <is>
          <t>Recipient of Shyam's personal "bag radar log" file share</t>
        </is>
      </c>
    </row>
    <row r="234">
      <c r="A234" s="4" t="inlineStr">
        <is>
          <t>J Crypto</t>
        </is>
      </c>
      <c r="B234" s="17" t="inlineStr">
        <is>
          <t>Personal / Other</t>
        </is>
      </c>
      <c r="C234" s="4" t="inlineStr"/>
      <c r="D234" s="4" t="inlineStr"/>
      <c r="E234" s="4" t="inlineStr">
        <is>
          <t>jcrypto401@gmail.com</t>
        </is>
      </c>
      <c r="F234" s="4" t="inlineStr"/>
      <c r="G234" s="6" t="inlineStr">
        <is>
          <t>2026-06-09</t>
        </is>
      </c>
      <c r="H234" s="6" t="inlineStr">
        <is>
          <t>2026-06-09</t>
        </is>
      </c>
      <c r="I234" s="6" t="n">
        <v>2</v>
      </c>
      <c r="J234" s="6" t="n">
        <v>0</v>
      </c>
      <c r="K234" s="4" t="inlineStr">
        <is>
          <t>Direct correspondence</t>
        </is>
      </c>
      <c r="L234" s="8" t="inlineStr"/>
    </row>
    <row r="235">
      <c r="A235" s="4" t="inlineStr">
        <is>
          <t>Joel Smart</t>
        </is>
      </c>
      <c r="B235" s="17" t="inlineStr">
        <is>
          <t>Personal / Other</t>
        </is>
      </c>
      <c r="C235" s="4" t="inlineStr"/>
      <c r="D235" s="4" t="inlineStr"/>
      <c r="E235" s="4" t="inlineStr">
        <is>
          <t>joelsmart2023@gmail.com</t>
        </is>
      </c>
      <c r="F235" s="4" t="inlineStr"/>
      <c r="G235" s="6" t="inlineStr">
        <is>
          <t>2026-07-24</t>
        </is>
      </c>
      <c r="H235" s="6" t="inlineStr">
        <is>
          <t>2026-07-24</t>
        </is>
      </c>
      <c r="I235" s="6" t="n">
        <v>0</v>
      </c>
      <c r="J235" s="6" t="n">
        <v>1</v>
      </c>
      <c r="K235" s="4" t="inlineStr">
        <is>
          <t>Direct correspondence</t>
        </is>
      </c>
      <c r="L235" s="8" t="inlineStr">
        <is>
          <t>Recipient of Shyam's personal "bag radar log" file share</t>
        </is>
      </c>
    </row>
    <row r="236">
      <c r="A236" s="4" t="inlineStr">
        <is>
          <t>Malus Entity</t>
        </is>
      </c>
      <c r="B236" s="17" t="inlineStr">
        <is>
          <t>Personal / Other</t>
        </is>
      </c>
      <c r="C236" s="4" t="inlineStr"/>
      <c r="D236" s="4" t="inlineStr"/>
      <c r="E236" s="4" t="inlineStr">
        <is>
          <t>malus.entity@gmail.com</t>
        </is>
      </c>
      <c r="F236" s="4" t="inlineStr"/>
      <c r="G236" s="6" t="inlineStr">
        <is>
          <t>2026-07-24</t>
        </is>
      </c>
      <c r="H236" s="6" t="inlineStr">
        <is>
          <t>2026-07-24</t>
        </is>
      </c>
      <c r="I236" s="6" t="n">
        <v>0</v>
      </c>
      <c r="J236" s="6" t="n">
        <v>1</v>
      </c>
      <c r="K236" s="4" t="inlineStr">
        <is>
          <t>Direct correspondence</t>
        </is>
      </c>
      <c r="L236" s="8" t="inlineStr">
        <is>
          <t>Recipient of Shyam's personal "bag radar log" file share</t>
        </is>
      </c>
    </row>
    <row r="237">
      <c r="A237" s="4" t="inlineStr">
        <is>
          <t>Shyam Lakhani</t>
        </is>
      </c>
      <c r="B237" s="17" t="inlineStr">
        <is>
          <t>Personal / Other</t>
        </is>
      </c>
      <c r="C237" s="4" t="inlineStr"/>
      <c r="D237" s="4" t="inlineStr"/>
      <c r="E237" s="4" t="inlineStr">
        <is>
          <t>slakhani0203@gmail.com</t>
        </is>
      </c>
      <c r="F237" s="4" t="inlineStr"/>
      <c r="G237" s="6" t="inlineStr">
        <is>
          <t>2026-01-21</t>
        </is>
      </c>
      <c r="H237" s="6" t="inlineStr">
        <is>
          <t>2026-07-22</t>
        </is>
      </c>
      <c r="I237" s="6" t="n">
        <v>3</v>
      </c>
      <c r="J237" s="6" t="n">
        <v>5</v>
      </c>
      <c r="K237" s="4" t="inlineStr">
        <is>
          <t>Direct correspondence</t>
        </is>
      </c>
      <c r="L237" s="8" t="inlineStr">
        <is>
          <t>Mailbox owner's personal Gmail; REL Finance employment offer correspondence.</t>
        </is>
      </c>
    </row>
    <row r="238">
      <c r="A238" s="4" t="inlineStr">
        <is>
          <t>Shyam Lakhani</t>
        </is>
      </c>
      <c r="B238" s="17" t="inlineStr">
        <is>
          <t>Personal / Other</t>
        </is>
      </c>
      <c r="C238" s="4" t="inlineStr"/>
      <c r="D238" s="4" t="inlineStr"/>
      <c r="E238" s="4" t="inlineStr">
        <is>
          <t>shyam_302@hotmail.co.uk</t>
        </is>
      </c>
      <c r="F238" s="4" t="inlineStr"/>
      <c r="G238" s="6" t="inlineStr">
        <is>
          <t>2026-03-10</t>
        </is>
      </c>
      <c r="H238" s="6" t="inlineStr">
        <is>
          <t>2026-07-23</t>
        </is>
      </c>
      <c r="I238" s="6" t="n">
        <v>3</v>
      </c>
      <c r="J238" s="6" t="n">
        <v>0</v>
      </c>
      <c r="K238" s="4" t="inlineStr">
        <is>
          <t>Direct correspondence</t>
        </is>
      </c>
      <c r="L238" s="8" t="inlineStr">
        <is>
          <t>Mailbox owner's own personal Hotmail address</t>
        </is>
      </c>
    </row>
  </sheetData>
  <autoFilter ref="A4:L238"/>
  <mergeCells count="2">
    <mergeCell ref="A2:L2"/>
    <mergeCell ref="A1:L1"/>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C14"/>
  <sheetViews>
    <sheetView workbookViewId="0">
      <selection activeCell="A1" sqref="A1"/>
    </sheetView>
  </sheetViews>
  <sheetFormatPr baseColWidth="8" defaultRowHeight="15"/>
  <cols>
    <col width="32" customWidth="1" min="1" max="1"/>
    <col width="12" customWidth="1" min="2" max="2"/>
  </cols>
  <sheetData>
    <row r="1">
      <c r="A1" s="18" t="inlineStr">
        <is>
          <t>Contacts by category</t>
        </is>
      </c>
    </row>
    <row r="3">
      <c r="A3" s="19" t="inlineStr">
        <is>
          <t>Category</t>
        </is>
      </c>
      <c r="B3" s="19" t="inlineStr">
        <is>
          <t>Contacts</t>
        </is>
      </c>
    </row>
    <row r="4">
      <c r="A4" s="20" t="inlineStr">
        <is>
          <t>Broker</t>
        </is>
      </c>
      <c r="B4" s="21">
        <f>COUNTIF('Contact List'!$B$5:$B$238,A4)</f>
        <v/>
      </c>
    </row>
    <row r="5">
      <c r="A5" s="22" t="inlineStr">
        <is>
          <t>Lender / Bank</t>
        </is>
      </c>
      <c r="B5" s="21">
        <f>COUNTIF('Contact List'!$B$5:$B$238,A5)</f>
        <v/>
      </c>
    </row>
    <row r="6">
      <c r="A6" s="23" t="inlineStr">
        <is>
          <t>Borrower / Sponsor</t>
        </is>
      </c>
      <c r="B6" s="21">
        <f>COUNTIF('Contact List'!$B$5:$B$238,A6)</f>
        <v/>
      </c>
    </row>
    <row r="7">
      <c r="A7" s="24" t="inlineStr">
        <is>
          <t>Investor / Family Office</t>
        </is>
      </c>
      <c r="B7" s="21">
        <f>COUNTIF('Contact List'!$B$5:$B$238,A7)</f>
        <v/>
      </c>
    </row>
    <row r="8">
      <c r="A8" s="25" t="inlineStr">
        <is>
          <t>Solicitor / Legal</t>
        </is>
      </c>
      <c r="B8" s="21">
        <f>COUNTIF('Contact List'!$B$5:$B$238,A8)</f>
        <v/>
      </c>
    </row>
    <row r="9">
      <c r="A9" s="26" t="inlineStr">
        <is>
          <t>Valuer / Property Professional</t>
        </is>
      </c>
      <c r="B9" s="21">
        <f>COUNTIF('Contact List'!$B$5:$B$238,A9)</f>
        <v/>
      </c>
    </row>
    <row r="10">
      <c r="A10" s="27" t="inlineStr">
        <is>
          <t>Accountant / Tax</t>
        </is>
      </c>
      <c r="B10" s="21">
        <f>COUNTIF('Contact List'!$B$5:$B$238,A10)</f>
        <v/>
      </c>
    </row>
    <row r="11">
      <c r="A11" s="28" t="inlineStr">
        <is>
          <t>Service Provider</t>
        </is>
      </c>
      <c r="B11" s="21">
        <f>COUNTIF('Contact List'!$B$5:$B$238,A11)</f>
        <v/>
      </c>
    </row>
    <row r="12">
      <c r="A12" s="29" t="inlineStr">
        <is>
          <t>Internal (REL Finance)</t>
        </is>
      </c>
      <c r="B12" s="21">
        <f>COUNTIF('Contact List'!$B$5:$B$238,A12)</f>
        <v/>
      </c>
    </row>
    <row r="13">
      <c r="A13" s="30" t="inlineStr">
        <is>
          <t>Personal / Other</t>
        </is>
      </c>
      <c r="B13" s="21">
        <f>COUNTIF('Contact List'!$B$5:$B$238,A13)</f>
        <v/>
      </c>
    </row>
    <row r="14">
      <c r="A14" s="31" t="inlineStr">
        <is>
          <t>Total</t>
        </is>
      </c>
      <c r="B14" s="32">
        <f>SUM(B4:B13)</f>
        <v/>
      </c>
    </row>
  </sheetData>
  <mergeCells count="1">
    <mergeCell ref="A1:C1"/>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14"/>
  <sheetViews>
    <sheetView workbookViewId="0">
      <selection activeCell="A1" sqref="A1"/>
    </sheetView>
  </sheetViews>
  <sheetFormatPr baseColWidth="8" defaultRowHeight="15"/>
  <cols>
    <col width="110" customWidth="1" min="1" max="1"/>
  </cols>
  <sheetData>
    <row r="1">
      <c r="A1" s="33" t="inlineStr">
        <is>
          <t>REL Finance — Contact List</t>
        </is>
      </c>
    </row>
    <row r="2">
      <c r="A2" s="34" t="inlineStr"/>
    </row>
    <row r="3">
      <c r="A3" s="35" t="inlineStr">
        <is>
          <t>What this is</t>
        </is>
      </c>
    </row>
    <row r="4">
      <c r="A4" s="34" t="inlineStr">
        <is>
          <t>Every external (and internal) contact from Shyam Lakhani's Outlook mailbox, categorised as Broker, Lender / Bank, Borrower / Sponsor, Solicitor / Legal, Valuer, Investor, Accountant, Service Provider, Internal or Other.</t>
        </is>
      </c>
    </row>
    <row r="5">
      <c r="A5" s="34" t="inlineStr"/>
    </row>
    <row r="6">
      <c r="A6" s="35" t="inlineStr">
        <is>
          <t>How it is produced</t>
        </is>
      </c>
    </row>
    <row r="7">
      <c r="A7" s="34" t="inlineStr">
        <is>
          <t>A weekly automated sweep reads the mailbox (Inbox, Sent Items and Archive), extracts every correspondent plus signature details (company, job title, phone), categorises them from deal context, and rebuilds this workbook. The master data lives in the dealsheet git repository (automation/contacts_data.json); this file is regenerated and re-uploaded to SharePoint automatically on every refresh.</t>
        </is>
      </c>
    </row>
    <row r="8">
      <c r="A8" s="34" t="inlineStr"/>
    </row>
    <row r="9">
      <c r="A9" s="35" t="inlineStr">
        <is>
          <t>Rules of use</t>
        </is>
      </c>
    </row>
    <row r="10">
      <c r="A10" s="34" t="inlineStr">
        <is>
          <t>1. Do NOT hand-edit this file in SharePoint — the weekly refresh overwrites it. Corrections (wrong category, name, company etc.) should go to Shyam, who will apply them to the master data so they stick.</t>
        </is>
      </c>
    </row>
    <row r="11">
      <c r="A11" s="34" t="inlineStr">
        <is>
          <t>2. 'Emails In / Out' are total messages received from / sent to that contact since Jan 2025 — a rough measure of relationship activity.</t>
        </is>
      </c>
    </row>
    <row r="12">
      <c r="A12" s="34" t="inlineStr">
        <is>
          <t>3. 'How Found' says where the address came from. 'Direct correspondence' means the contact has emailed Shyam or been emailed by him. 'Named in a thread' means the address was recovered from a forwarded message header or a quoted signature — the contact is real, but nobody at REL has emailed them from this mailbox.</t>
        </is>
      </c>
    </row>
    <row r="13">
      <c r="A13" s="34" t="inlineStr">
        <is>
          <t>4. Automated senders (newsletters, notifications, no-reply addresses) are excluded automatically.</t>
        </is>
      </c>
    </row>
    <row r="14">
      <c r="A14" s="34" t="inlineStr">
        <is>
          <t>5. Phone numbers and job titles are mined from email signatures where available; blanks mean no signature was found, not that the contact has none.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2026-07-28T10:33:12Z</dcterms:created>
  <dcterms:modified xsi:type="dcterms:W3CDTF">2026-07-28T10:33:12Z</dcterms:modified>
</cp:coreProperties>
</file>