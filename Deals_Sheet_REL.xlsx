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Potential Deals" sheetId="1" state="visible" r:id="rId1"/>
    <sheet name="Declined Deals" sheetId="2" state="visible" r:id="rId2"/>
    <sheet name="Completed Deals" sheetId="3" state="visible" r:id="rId3"/>
  </sheets>
  <definedNames>
    <definedName name="_xlnm.Print_Area" localSheetId="0">'Potential Deals'!$C$5:$R$17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"/>
    <numFmt numFmtId="165" formatCode="0.0%"/>
    <numFmt numFmtId="166" formatCode="mmm\-yy"/>
    <numFmt numFmtId="167" formatCode="#,##0.00_ ;[RED]\-#,##0.00\ "/>
    <numFmt numFmtId="168" formatCode="\£#,##0;[RED]&quot;-£&quot;#,##0"/>
    <numFmt numFmtId="169" formatCode="\£#,##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sz val="16"/>
    </font>
    <font>
      <name val="Arial"/>
      <charset val="1"/>
      <family val="2"/>
      <b val="1"/>
      <color theme="1"/>
      <sz val="10"/>
    </font>
    <font>
      <name val="Arial"/>
      <charset val="1"/>
      <family val="2"/>
      <b val="1"/>
      <color theme="0"/>
      <sz val="10"/>
    </font>
    <font>
      <name val="Arial"/>
      <charset val="1"/>
      <family val="2"/>
      <color rgb="FF000000"/>
      <sz val="10"/>
    </font>
  </fonts>
  <fills count="5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7" tint="0.3999"/>
        <bgColor rgb="FFC0C0C0"/>
      </patternFill>
    </fill>
    <fill>
      <patternFill patternType="solid">
        <fgColor theme="8" tint="0.3999"/>
        <bgColor rgb="FFC0C0C0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  <border>
      <left style="medium"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/>
      <top/>
      <bottom style="thin"/>
      <diagonal/>
    </border>
    <border>
      <left/>
      <right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bottom"/>
    </xf>
    <xf numFmtId="2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9" fontId="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top"/>
    </xf>
    <xf numFmtId="0" fontId="5" fillId="2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left" vertical="bottom"/>
    </xf>
    <xf numFmtId="0" fontId="4" fillId="0" borderId="1" applyAlignment="1" pivotButton="0" quotePrefix="0" xfId="0">
      <alignment horizontal="left" vertical="bottom"/>
    </xf>
    <xf numFmtId="0" fontId="6" fillId="3" borderId="2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2" fontId="6" fillId="4" borderId="1" applyAlignment="1" pivotButton="0" quotePrefix="0" xfId="0">
      <alignment horizontal="center" vertical="top" wrapText="1"/>
    </xf>
    <xf numFmtId="164" fontId="6" fillId="4" borderId="1" applyAlignment="1" pivotButton="0" quotePrefix="0" xfId="0">
      <alignment horizontal="center" vertical="top" wrapText="1"/>
    </xf>
    <xf numFmtId="9" fontId="6" fillId="4" borderId="1" applyAlignment="1" pivotButton="0" quotePrefix="0" xfId="0">
      <alignment horizontal="center" vertical="top" wrapText="1"/>
    </xf>
    <xf numFmtId="165" fontId="6" fillId="4" borderId="1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bottom"/>
    </xf>
    <xf numFmtId="2" fontId="4" fillId="0" borderId="1" applyAlignment="1" pivotButton="0" quotePrefix="0" xfId="0">
      <alignment horizontal="center" vertical="bottom"/>
    </xf>
    <xf numFmtId="164" fontId="4" fillId="0" borderId="1" applyAlignment="1" pivotButton="0" quotePrefix="0" xfId="0">
      <alignment horizontal="center" vertical="bottom"/>
    </xf>
    <xf numFmtId="9" fontId="4" fillId="0" borderId="1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top"/>
    </xf>
    <xf numFmtId="0" fontId="7" fillId="2" borderId="1" applyAlignment="1" pivotButton="0" quotePrefix="0" xfId="0">
      <alignment horizontal="left" vertical="top"/>
    </xf>
    <xf numFmtId="0" fontId="7" fillId="2" borderId="1" applyAlignment="1" pivotButton="0" quotePrefix="0" xfId="0">
      <alignment horizontal="right" vertical="top" wrapText="1"/>
    </xf>
    <xf numFmtId="0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left" vertical="top" wrapText="1"/>
    </xf>
    <xf numFmtId="2" fontId="7" fillId="2" borderId="1" applyAlignment="1" pivotButton="0" quotePrefix="0" xfId="0">
      <alignment horizontal="center" vertical="top" wrapText="1"/>
    </xf>
    <xf numFmtId="164" fontId="7" fillId="2" borderId="1" applyAlignment="1" pivotButton="0" quotePrefix="0" xfId="0">
      <alignment horizontal="center" vertical="top" wrapText="1"/>
    </xf>
    <xf numFmtId="9" fontId="7" fillId="2" borderId="1" applyAlignment="1" pivotButton="0" quotePrefix="0" xfId="0">
      <alignment horizontal="center" vertical="top" wrapText="1"/>
    </xf>
    <xf numFmtId="165" fontId="7" fillId="2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left" vertical="top"/>
    </xf>
    <xf numFmtId="0" fontId="6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center" vertical="top"/>
    </xf>
    <xf numFmtId="0" fontId="6" fillId="2" borderId="0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top" wrapText="1"/>
    </xf>
    <xf numFmtId="2" fontId="6" fillId="2" borderId="1" applyAlignment="1" pivotButton="0" quotePrefix="0" xfId="0">
      <alignment horizontal="center" vertical="top" wrapText="1"/>
    </xf>
    <xf numFmtId="164" fontId="6" fillId="2" borderId="1" applyAlignment="1" pivotButton="0" quotePrefix="0" xfId="0">
      <alignment horizontal="center" vertical="top" wrapText="1"/>
    </xf>
    <xf numFmtId="9" fontId="6" fillId="2" borderId="1" applyAlignment="1" pivotButton="0" quotePrefix="0" xfId="0">
      <alignment horizontal="center" vertical="top" wrapText="1"/>
    </xf>
    <xf numFmtId="165" fontId="6" fillId="2" borderId="1" applyAlignment="1" pivotButton="0" quotePrefix="0" xfId="0">
      <alignment horizontal="center" vertical="top"/>
    </xf>
    <xf numFmtId="166" fontId="4" fillId="0" borderId="1" applyAlignment="1" pivotButton="0" quotePrefix="0" xfId="0">
      <alignment horizontal="left" vertical="bottom"/>
    </xf>
    <xf numFmtId="0" fontId="8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center" vertical="center" wrapText="1"/>
    </xf>
    <xf numFmtId="9" fontId="4" fillId="0" borderId="0" applyAlignment="1" pivotButton="0" quotePrefix="0" xfId="0">
      <alignment horizontal="left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3" borderId="3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top" wrapText="1"/>
    </xf>
    <xf numFmtId="2" fontId="6" fillId="2" borderId="0" applyAlignment="1" pivotButton="0" quotePrefix="0" xfId="0">
      <alignment horizontal="center" vertical="top" wrapText="1"/>
    </xf>
    <xf numFmtId="164" fontId="6" fillId="2" borderId="0" applyAlignment="1" pivotButton="0" quotePrefix="0" xfId="0">
      <alignment horizontal="center" vertical="top" wrapText="1"/>
    </xf>
    <xf numFmtId="9" fontId="6" fillId="2" borderId="0" applyAlignment="1" pivotButton="0" quotePrefix="0" xfId="0">
      <alignment horizontal="center" vertical="top" wrapText="1"/>
    </xf>
    <xf numFmtId="165" fontId="6" fillId="2" borderId="0" applyAlignment="1" pivotButton="0" quotePrefix="0" xfId="0">
      <alignment horizontal="center" vertical="top"/>
    </xf>
    <xf numFmtId="0" fontId="4" fillId="0" borderId="4" applyAlignment="1" pivotButton="0" quotePrefix="0" xfId="0">
      <alignment horizontal="left" vertical="bottom"/>
    </xf>
    <xf numFmtId="0" fontId="4" fillId="0" borderId="5" applyAlignment="1" pivotButton="0" quotePrefix="0" xfId="0">
      <alignment horizontal="left" vertical="bottom"/>
    </xf>
    <xf numFmtId="0" fontId="4" fillId="0" borderId="5" applyAlignment="1" pivotButton="0" quotePrefix="0" xfId="0">
      <alignment horizontal="general" vertical="bottom"/>
    </xf>
    <xf numFmtId="0" fontId="4" fillId="0" borderId="5" applyAlignment="1" pivotButton="0" quotePrefix="0" xfId="0">
      <alignment horizontal="center" vertical="bottom"/>
    </xf>
    <xf numFmtId="2" fontId="4" fillId="0" borderId="5" applyAlignment="1" pivotButton="0" quotePrefix="0" xfId="0">
      <alignment horizontal="center" vertical="bottom"/>
    </xf>
    <xf numFmtId="164" fontId="4" fillId="0" borderId="5" applyAlignment="1" pivotButton="0" quotePrefix="0" xfId="0">
      <alignment horizontal="center" vertical="bottom"/>
    </xf>
    <xf numFmtId="0" fontId="4" fillId="0" borderId="1" applyAlignment="1" pivotButton="0" quotePrefix="0" xfId="0">
      <alignment horizontal="left" vertical="bottom" wrapText="1"/>
    </xf>
    <xf numFmtId="166" fontId="4" fillId="0" borderId="6" applyAlignment="1" pivotButton="0" quotePrefix="0" xfId="0">
      <alignment horizontal="left" vertical="bottom"/>
    </xf>
    <xf numFmtId="0" fontId="4" fillId="0" borderId="7" applyAlignment="1" pivotButton="0" quotePrefix="0" xfId="0">
      <alignment horizontal="general" vertical="bottom"/>
    </xf>
    <xf numFmtId="0" fontId="4" fillId="0" borderId="7" applyAlignment="1" pivotButton="0" quotePrefix="0" xfId="0">
      <alignment horizontal="center" vertical="bottom"/>
    </xf>
    <xf numFmtId="0" fontId="4" fillId="0" borderId="7" applyAlignment="1" pivotButton="0" quotePrefix="0" xfId="0">
      <alignment horizontal="left" vertical="bottom"/>
    </xf>
    <xf numFmtId="2" fontId="4" fillId="0" borderId="7" applyAlignment="1" pivotButton="0" quotePrefix="0" xfId="0">
      <alignment horizontal="center" vertical="bottom"/>
    </xf>
    <xf numFmtId="164" fontId="4" fillId="0" borderId="7" applyAlignment="1" pivotButton="0" quotePrefix="0" xfId="0">
      <alignment horizontal="center" vertical="bottom"/>
    </xf>
    <xf numFmtId="9" fontId="4" fillId="0" borderId="7" applyAlignment="1" pivotButton="0" quotePrefix="0" xfId="0">
      <alignment horizontal="center" vertical="bottom"/>
    </xf>
    <xf numFmtId="165" fontId="4" fillId="0" borderId="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top"/>
    </xf>
    <xf numFmtId="0" fontId="8" fillId="0" borderId="7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166" fontId="4" fillId="0" borderId="8" applyAlignment="1" pivotButton="0" quotePrefix="0" xfId="0">
      <alignment horizontal="left" vertical="bottom"/>
    </xf>
    <xf numFmtId="0" fontId="4" fillId="0" borderId="7" applyAlignment="1" pivotButton="0" quotePrefix="0" xfId="0">
      <alignment horizontal="left" vertical="bottom" wrapText="1"/>
    </xf>
    <xf numFmtId="165" fontId="6" fillId="0" borderId="0" applyAlignment="1" pivotButton="0" quotePrefix="0" xfId="0">
      <alignment horizontal="center" vertical="top"/>
    </xf>
    <xf numFmtId="9" fontId="4" fillId="0" borderId="0" applyAlignment="1" pivotButton="0" quotePrefix="0" xfId="0">
      <alignment horizontal="left" vertical="center"/>
    </xf>
    <xf numFmtId="9" fontId="4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bottom"/>
    </xf>
    <xf numFmtId="2" fontId="4" fillId="0" borderId="0" applyAlignment="1" pivotButton="0" quotePrefix="0" xfId="0">
      <alignment horizontal="center" vertical="bottom"/>
    </xf>
    <xf numFmtId="164" fontId="4" fillId="0" borderId="0" applyAlignment="1" pivotButton="0" quotePrefix="0" xfId="0">
      <alignment horizontal="center" vertical="bottom"/>
    </xf>
    <xf numFmtId="9" fontId="4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 vertical="top"/>
    </xf>
    <xf numFmtId="0" fontId="0" fillId="0" borderId="0" pivotButton="0" quotePrefix="0" xfId="0"/>
    <xf numFmtId="0" fontId="5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left" vertical="bottom"/>
    </xf>
    <xf numFmtId="0" fontId="4" fillId="0" borderId="1" applyAlignment="1" pivotButton="0" quotePrefix="0" xfId="0">
      <alignment horizontal="left" vertical="bottom"/>
    </xf>
    <xf numFmtId="0" fontId="6" fillId="3" borderId="2" applyAlignment="1" pivotButton="0" quotePrefix="0" xfId="0">
      <alignment horizontal="left" vertical="top" wrapText="1"/>
    </xf>
    <xf numFmtId="0" fontId="0" fillId="0" borderId="2" pivotButton="0" quotePrefix="0" xfId="0"/>
    <xf numFmtId="0" fontId="6" fillId="4" borderId="1" applyAlignment="1" pivotButton="0" quotePrefix="0" xfId="0">
      <alignment horizontal="left" vertical="top"/>
    </xf>
    <xf numFmtId="0" fontId="6" fillId="4" borderId="1" applyAlignment="1" pivotButton="0" quotePrefix="0" xfId="0">
      <alignment horizontal="center" vertical="top"/>
    </xf>
    <xf numFmtId="0" fontId="6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 wrapText="1"/>
    </xf>
    <xf numFmtId="2" fontId="6" fillId="4" borderId="1" applyAlignment="1" pivotButton="0" quotePrefix="0" xfId="0">
      <alignment horizontal="center" vertical="top" wrapText="1"/>
    </xf>
    <xf numFmtId="164" fontId="6" fillId="4" borderId="1" applyAlignment="1" pivotButton="0" quotePrefix="0" xfId="0">
      <alignment horizontal="center" vertical="top" wrapText="1"/>
    </xf>
    <xf numFmtId="9" fontId="6" fillId="4" borderId="1" applyAlignment="1" pivotButton="0" quotePrefix="0" xfId="0">
      <alignment horizontal="center" vertical="top" wrapText="1"/>
    </xf>
    <xf numFmtId="165" fontId="6" fillId="4" borderId="1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bottom"/>
    </xf>
    <xf numFmtId="2" fontId="4" fillId="0" borderId="1" applyAlignment="1" pivotButton="0" quotePrefix="0" xfId="0">
      <alignment horizontal="center" vertical="bottom"/>
    </xf>
    <xf numFmtId="164" fontId="4" fillId="0" borderId="1" applyAlignment="1" pivotButton="0" quotePrefix="0" xfId="0">
      <alignment horizontal="center" vertical="bottom"/>
    </xf>
    <xf numFmtId="9" fontId="4" fillId="0" borderId="1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4" fillId="0" borderId="1" applyAlignment="1" pivotButton="0" quotePrefix="0" xfId="0">
      <alignment horizontal="center" vertical="top"/>
    </xf>
    <xf numFmtId="0" fontId="7" fillId="2" borderId="0" applyAlignment="1" pivotButton="0" quotePrefix="0" xfId="0">
      <alignment horizontal="left" vertical="top"/>
    </xf>
    <xf numFmtId="0" fontId="6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 wrapText="1"/>
    </xf>
    <xf numFmtId="9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top"/>
    </xf>
    <xf numFmtId="0" fontId="7" fillId="2" borderId="1" applyAlignment="1" pivotButton="0" quotePrefix="0" xfId="0">
      <alignment horizontal="right" vertical="top" wrapText="1"/>
    </xf>
    <xf numFmtId="0" fontId="7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left" vertical="top" wrapText="1"/>
    </xf>
    <xf numFmtId="2" fontId="7" fillId="2" borderId="1" applyAlignment="1" pivotButton="0" quotePrefix="0" xfId="0">
      <alignment horizontal="center" vertical="top" wrapText="1"/>
    </xf>
    <xf numFmtId="164" fontId="7" fillId="2" borderId="1" applyAlignment="1" pivotButton="0" quotePrefix="0" xfId="0">
      <alignment horizontal="center" vertical="top" wrapText="1"/>
    </xf>
    <xf numFmtId="9" fontId="7" fillId="2" borderId="1" applyAlignment="1" pivotButton="0" quotePrefix="0" xfId="0">
      <alignment horizontal="center" vertical="top" wrapText="1"/>
    </xf>
    <xf numFmtId="165" fontId="7" fillId="2" borderId="1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left" vertical="top"/>
    </xf>
    <xf numFmtId="0" fontId="6" fillId="2" borderId="0" applyAlignment="1" pivotButton="0" quotePrefix="0" xfId="0">
      <alignment horizontal="left" vertical="top"/>
    </xf>
    <xf numFmtId="0" fontId="7" fillId="2" borderId="0" applyAlignment="1" pivotButton="0" quotePrefix="0" xfId="0">
      <alignment horizontal="center" vertical="top" wrapText="1"/>
    </xf>
    <xf numFmtId="0" fontId="6" fillId="2" borderId="1" applyAlignment="1" pivotButton="0" quotePrefix="0" xfId="0">
      <alignment horizontal="center" vertical="top"/>
    </xf>
    <xf numFmtId="0" fontId="6" fillId="2" borderId="0" applyAlignment="1" pivotButton="0" quotePrefix="0" xfId="0">
      <alignment horizontal="center" vertical="top"/>
    </xf>
    <xf numFmtId="0" fontId="6" fillId="3" borderId="1" applyAlignment="1" pivotButton="0" quotePrefix="0" xfId="0">
      <alignment horizontal="left" vertical="top" wrapText="1"/>
    </xf>
    <xf numFmtId="0" fontId="0" fillId="0" borderId="4" pivotButton="0" quotePrefix="0" xfId="0"/>
    <xf numFmtId="0" fontId="6" fillId="2" borderId="1" applyAlignment="1" pivotButton="0" quotePrefix="0" xfId="0">
      <alignment horizontal="center" vertical="top" wrapText="1"/>
    </xf>
    <xf numFmtId="2" fontId="6" fillId="2" borderId="1" applyAlignment="1" pivotButton="0" quotePrefix="0" xfId="0">
      <alignment horizontal="center" vertical="top" wrapText="1"/>
    </xf>
    <xf numFmtId="164" fontId="6" fillId="2" borderId="1" applyAlignment="1" pivotButton="0" quotePrefix="0" xfId="0">
      <alignment horizontal="center" vertical="top" wrapText="1"/>
    </xf>
    <xf numFmtId="9" fontId="6" fillId="2" borderId="1" applyAlignment="1" pivotButton="0" quotePrefix="0" xfId="0">
      <alignment horizontal="center" vertical="top" wrapText="1"/>
    </xf>
    <xf numFmtId="165" fontId="6" fillId="2" borderId="1" applyAlignment="1" pivotButton="0" quotePrefix="0" xfId="0">
      <alignment horizontal="center" vertical="top"/>
    </xf>
    <xf numFmtId="166" fontId="4" fillId="0" borderId="1" applyAlignment="1" pivotButton="0" quotePrefix="0" xfId="0">
      <alignment horizontal="left" vertical="bottom"/>
    </xf>
    <xf numFmtId="0" fontId="8" fillId="0" borderId="1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5" fontId="6" fillId="0" borderId="1" applyAlignment="1" pivotButton="0" quotePrefix="0" xfId="0">
      <alignment horizontal="center" vertical="center" wrapText="1"/>
    </xf>
    <xf numFmtId="9" fontId="4" fillId="0" borderId="0" applyAlignment="1" pivotButton="0" quotePrefix="0" xfId="0">
      <alignment horizontal="left" vertical="bottom"/>
    </xf>
    <xf numFmtId="167" fontId="0" fillId="0" borderId="0" applyAlignment="1" pivotButton="0" quotePrefix="0" xfId="0">
      <alignment horizontal="general" vertical="bottom"/>
    </xf>
    <xf numFmtId="168" fontId="0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3" borderId="3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top" wrapText="1"/>
    </xf>
    <xf numFmtId="2" fontId="6" fillId="2" borderId="0" applyAlignment="1" pivotButton="0" quotePrefix="0" xfId="0">
      <alignment horizontal="center" vertical="top" wrapText="1"/>
    </xf>
    <xf numFmtId="164" fontId="6" fillId="2" borderId="0" applyAlignment="1" pivotButton="0" quotePrefix="0" xfId="0">
      <alignment horizontal="center" vertical="top" wrapText="1"/>
    </xf>
    <xf numFmtId="9" fontId="6" fillId="2" borderId="0" applyAlignment="1" pivotButton="0" quotePrefix="0" xfId="0">
      <alignment horizontal="center" vertical="top" wrapText="1"/>
    </xf>
    <xf numFmtId="165" fontId="6" fillId="2" borderId="0" applyAlignment="1" pivotButton="0" quotePrefix="0" xfId="0">
      <alignment horizontal="center" vertical="top"/>
    </xf>
    <xf numFmtId="0" fontId="4" fillId="0" borderId="4" applyAlignment="1" pivotButton="0" quotePrefix="0" xfId="0">
      <alignment horizontal="left" vertical="bottom"/>
    </xf>
    <xf numFmtId="0" fontId="4" fillId="0" borderId="5" applyAlignment="1" pivotButton="0" quotePrefix="0" xfId="0">
      <alignment horizontal="left" vertical="bottom"/>
    </xf>
    <xf numFmtId="0" fontId="4" fillId="0" borderId="5" applyAlignment="1" pivotButton="0" quotePrefix="0" xfId="0">
      <alignment horizontal="general" vertical="bottom"/>
    </xf>
    <xf numFmtId="0" fontId="4" fillId="0" borderId="5" applyAlignment="1" pivotButton="0" quotePrefix="0" xfId="0">
      <alignment horizontal="center" vertical="bottom"/>
    </xf>
    <xf numFmtId="2" fontId="4" fillId="0" borderId="5" applyAlignment="1" pivotButton="0" quotePrefix="0" xfId="0">
      <alignment horizontal="center" vertical="bottom"/>
    </xf>
    <xf numFmtId="164" fontId="4" fillId="0" borderId="5" applyAlignment="1" pivotButton="0" quotePrefix="0" xfId="0">
      <alignment horizontal="center" vertical="bottom"/>
    </xf>
    <xf numFmtId="0" fontId="4" fillId="0" borderId="1" applyAlignment="1" pivotButton="0" quotePrefix="0" xfId="0">
      <alignment horizontal="left" vertical="bottom" wrapText="1"/>
    </xf>
    <xf numFmtId="166" fontId="4" fillId="0" borderId="6" applyAlignment="1" pivotButton="0" quotePrefix="0" xfId="0">
      <alignment horizontal="left" vertical="bottom"/>
    </xf>
    <xf numFmtId="0" fontId="4" fillId="0" borderId="7" applyAlignment="1" pivotButton="0" quotePrefix="0" xfId="0">
      <alignment horizontal="general" vertical="bottom"/>
    </xf>
    <xf numFmtId="0" fontId="4" fillId="0" borderId="7" applyAlignment="1" pivotButton="0" quotePrefix="0" xfId="0">
      <alignment horizontal="center" vertical="bottom"/>
    </xf>
    <xf numFmtId="0" fontId="4" fillId="0" borderId="7" applyAlignment="1" pivotButton="0" quotePrefix="0" xfId="0">
      <alignment horizontal="left" vertical="bottom"/>
    </xf>
    <xf numFmtId="2" fontId="4" fillId="0" borderId="7" applyAlignment="1" pivotButton="0" quotePrefix="0" xfId="0">
      <alignment horizontal="center" vertical="bottom"/>
    </xf>
    <xf numFmtId="164" fontId="4" fillId="0" borderId="7" applyAlignment="1" pivotButton="0" quotePrefix="0" xfId="0">
      <alignment horizontal="center" vertical="bottom"/>
    </xf>
    <xf numFmtId="9" fontId="4" fillId="0" borderId="7" applyAlignment="1" pivotButton="0" quotePrefix="0" xfId="0">
      <alignment horizontal="center" vertical="bottom"/>
    </xf>
    <xf numFmtId="165" fontId="4" fillId="0" borderId="7" applyAlignment="1" pivotButton="0" quotePrefix="0" xfId="0">
      <alignment horizontal="center" vertical="bottom"/>
    </xf>
    <xf numFmtId="0" fontId="4" fillId="0" borderId="7" applyAlignment="1" pivotButton="0" quotePrefix="0" xfId="0">
      <alignment horizontal="center" vertical="top"/>
    </xf>
    <xf numFmtId="0" fontId="8" fillId="0" borderId="7" applyAlignment="1" pivotButton="0" quotePrefix="0" xfId="0">
      <alignment horizontal="general" vertical="bottom"/>
    </xf>
    <xf numFmtId="0" fontId="6" fillId="0" borderId="0" applyAlignment="1" pivotButton="0" quotePrefix="0" xfId="0">
      <alignment horizontal="left" vertical="center"/>
    </xf>
    <xf numFmtId="166" fontId="4" fillId="0" borderId="8" applyAlignment="1" pivotButton="0" quotePrefix="0" xfId="0">
      <alignment horizontal="left" vertical="bottom"/>
    </xf>
    <xf numFmtId="0" fontId="4" fillId="0" borderId="7" applyAlignment="1" pivotButton="0" quotePrefix="0" xfId="0">
      <alignment horizontal="left" vertical="bottom" wrapText="1"/>
    </xf>
    <xf numFmtId="165" fontId="6" fillId="0" borderId="0" applyAlignment="1" pivotButton="0" quotePrefix="0" xfId="0">
      <alignment horizontal="center" vertical="top"/>
    </xf>
    <xf numFmtId="9" fontId="4" fillId="0" borderId="0" applyAlignment="1" pivotButton="0" quotePrefix="0" xfId="0">
      <alignment horizontal="left" vertical="center"/>
    </xf>
    <xf numFmtId="9" fontId="4" fillId="0" borderId="1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FF99CC"/>
      <rgbColor rgb="FFB3A2C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W61"/>
  <sheetViews>
    <sheetView showFormulas="0" showGridLines="1" showRowColHeaders="1" showZeros="1" rightToLeft="0" tabSelected="1" showOutlineSymbols="1" defaultGridColor="1" view="normal" topLeftCell="A4" colorId="64" zoomScale="93" zoomScaleNormal="93" zoomScalePageLayoutView="100" workbookViewId="0">
      <selection pane="topLeft" activeCell="L33" activeCellId="0" sqref="L33"/>
    </sheetView>
  </sheetViews>
  <sheetFormatPr baseColWidth="8" defaultColWidth="9" defaultRowHeight="12.75" zeroHeight="0" outlineLevelRow="0"/>
  <cols>
    <col width="14.29" customWidth="1" style="98" min="1" max="1"/>
    <col width="70.14" customWidth="1" style="98" min="2" max="2"/>
    <col width="23.86" customWidth="1" style="99" min="3" max="3"/>
    <col width="37.14" customWidth="1" style="98" min="4" max="4"/>
    <col width="13.43" customWidth="1" style="99" min="5" max="5"/>
    <col width="12.29" customWidth="1" style="99" min="6" max="6"/>
    <col width="9.57" customWidth="1" style="99" min="7" max="7"/>
    <col width="10.71" customWidth="1" style="100" min="8" max="8"/>
    <col width="9.57" customWidth="1" style="101" min="9" max="9"/>
    <col width="9.57" customWidth="1" style="100" min="10" max="11"/>
    <col width="9.57" customWidth="1" style="102" min="12" max="12"/>
    <col width="9.57" customWidth="1" style="99" min="13" max="13"/>
    <col width="9.57" customWidth="1" style="103" min="14" max="14"/>
    <col width="9.57" customWidth="1" style="104" min="15" max="15"/>
    <col width="9.57" customWidth="1" style="99" min="16" max="16"/>
    <col width="9.57" customWidth="1" style="98" min="17" max="17"/>
    <col width="61.71" customWidth="1" style="98" min="18" max="18"/>
    <col width="40.71" customWidth="1" style="98" min="19" max="19"/>
    <col width="9" customWidth="1" style="98" min="20" max="16384"/>
  </cols>
  <sheetData>
    <row r="1" hidden="1" ht="15" customHeight="1" s="105">
      <c r="C1" s="106" t="n"/>
      <c r="S1" s="106" t="n"/>
    </row>
    <row r="2" hidden="1" ht="12.75" customHeight="1" s="105">
      <c r="S2" s="106" t="n"/>
    </row>
    <row r="3" hidden="1" ht="12.75" customHeight="1" s="105">
      <c r="S3" s="106" t="n"/>
    </row>
    <row r="4" ht="32.25" customHeight="1" s="105">
      <c r="B4" s="106" t="inlineStr">
        <is>
          <t xml:space="preserve">REL Finance Deals Sheet </t>
        </is>
      </c>
      <c r="S4" s="106" t="n"/>
      <c r="T4" s="107" t="n"/>
      <c r="U4" s="107" t="n"/>
      <c r="V4" s="107" t="n"/>
    </row>
    <row r="5" ht="21.75" customHeight="1" s="105">
      <c r="C5" s="106" t="n"/>
      <c r="D5" s="106" t="n"/>
      <c r="E5" s="106" t="n"/>
      <c r="F5" s="106" t="n"/>
      <c r="G5" s="106" t="n"/>
      <c r="H5" s="106" t="n"/>
      <c r="I5" s="106" t="n"/>
      <c r="J5" s="106" t="n"/>
      <c r="K5" s="106" t="n"/>
      <c r="L5" s="106" t="n"/>
      <c r="M5" s="106" t="n"/>
      <c r="N5" s="106" t="n"/>
      <c r="O5" s="106" t="n"/>
      <c r="P5" s="106" t="n"/>
      <c r="Q5" s="106" t="n"/>
      <c r="R5" s="106" t="n"/>
      <c r="S5" s="106" t="n"/>
      <c r="T5" s="107" t="n"/>
      <c r="U5" s="107" t="n"/>
      <c r="V5" s="107" t="n"/>
    </row>
    <row r="6" ht="21.75" customHeight="1" s="105">
      <c r="A6" s="108" t="n"/>
      <c r="B6" s="109" t="inlineStr">
        <is>
          <t>In Legals</t>
        </is>
      </c>
      <c r="C6" s="110" t="n"/>
      <c r="D6" s="106" t="n"/>
      <c r="E6" s="106" t="n"/>
      <c r="F6" s="106" t="n"/>
      <c r="G6" s="106" t="n"/>
      <c r="H6" s="106" t="n"/>
      <c r="I6" s="106" t="n"/>
      <c r="J6" s="106" t="n"/>
      <c r="K6" s="106" t="n"/>
      <c r="L6" s="106" t="n"/>
      <c r="M6" s="106" t="n"/>
      <c r="N6" s="106" t="n"/>
      <c r="O6" s="106" t="n"/>
      <c r="P6" s="106" t="n"/>
      <c r="Q6" s="106" t="n"/>
      <c r="R6" s="106" t="n"/>
      <c r="S6" s="106" t="n"/>
      <c r="T6" s="107" t="n"/>
      <c r="U6" s="107" t="n"/>
      <c r="V6" s="107" t="n"/>
    </row>
    <row r="7" ht="51" customHeight="1" s="105">
      <c r="A7" s="111" t="inlineStr">
        <is>
          <t>Date Received</t>
        </is>
      </c>
      <c r="B7" s="111" t="inlineStr">
        <is>
          <t>Property Address</t>
        </is>
      </c>
      <c r="C7" s="112" t="inlineStr">
        <is>
          <t>Asset Class</t>
        </is>
      </c>
      <c r="D7" s="113" t="inlineStr">
        <is>
          <t>Borrower</t>
        </is>
      </c>
      <c r="E7" s="114" t="inlineStr">
        <is>
          <t>Senior/
Mezz/ 
Pref</t>
        </is>
      </c>
      <c r="F7" s="114" t="inlineStr">
        <is>
          <t>Deal Type</t>
        </is>
      </c>
      <c r="G7" s="114" t="inlineStr">
        <is>
          <t>Aquistion/ Refinance</t>
        </is>
      </c>
      <c r="H7" s="115" t="inlineStr">
        <is>
          <t>Net Loan (£m)</t>
        </is>
      </c>
      <c r="I7" s="116" t="inlineStr">
        <is>
          <t>REL Return 
(£m)</t>
        </is>
      </c>
      <c r="J7" s="115" t="inlineStr">
        <is>
          <t>Gross Loan (£m)</t>
        </is>
      </c>
      <c r="K7" s="115" t="inlineStr">
        <is>
          <t>Collateral Value (£m)</t>
        </is>
      </c>
      <c r="L7" s="117" t="inlineStr">
        <is>
          <t>LTV</t>
        </is>
      </c>
      <c r="M7" s="114" t="inlineStr">
        <is>
          <t>Length (Months)</t>
        </is>
      </c>
      <c r="N7" s="118" t="inlineStr">
        <is>
          <t>IRR 
Return</t>
        </is>
      </c>
      <c r="O7" s="114" t="inlineStr">
        <is>
          <t>Term Sheet Issued</t>
        </is>
      </c>
      <c r="P7" s="114" t="inlineStr">
        <is>
          <t>Commitment Fee Received</t>
        </is>
      </c>
      <c r="Q7" s="113" t="inlineStr">
        <is>
          <t>Broker / Direct</t>
        </is>
      </c>
      <c r="R7" s="113" t="inlineStr">
        <is>
          <t>Comments</t>
        </is>
      </c>
      <c r="S7" s="119" t="inlineStr">
        <is>
          <t>REL Share (£m)</t>
        </is>
      </c>
      <c r="T7" s="107" t="n"/>
      <c r="U7" s="107" t="n"/>
      <c r="V7" s="107" t="n"/>
    </row>
    <row r="8" ht="12.75" customHeight="1" s="105">
      <c r="A8" s="108" t="n"/>
      <c r="B8" s="108" t="n"/>
      <c r="C8" s="120" t="n"/>
      <c r="D8" s="108" t="n"/>
      <c r="E8" s="120" t="n"/>
      <c r="F8" s="120" t="n"/>
      <c r="G8" s="120" t="n"/>
      <c r="H8" s="121" t="n"/>
      <c r="I8" s="122" t="n"/>
      <c r="J8" s="121" t="n"/>
      <c r="K8" s="121" t="n"/>
      <c r="L8" s="123" t="n"/>
      <c r="M8" s="120" t="n"/>
      <c r="N8" s="124" t="n"/>
      <c r="O8" s="125" t="n"/>
      <c r="P8" s="120" t="n"/>
      <c r="Q8" s="108" t="n"/>
      <c r="R8" s="108" t="n"/>
    </row>
    <row r="9" ht="12.75" customHeight="1" s="105">
      <c r="A9" s="108" t="n"/>
      <c r="B9" s="108" t="n"/>
      <c r="C9" s="120" t="n"/>
      <c r="D9" s="108" t="n"/>
      <c r="E9" s="120" t="n"/>
      <c r="F9" s="120" t="n"/>
      <c r="G9" s="120" t="n"/>
      <c r="H9" s="121" t="n"/>
      <c r="I9" s="122" t="n"/>
      <c r="J9" s="121" t="n"/>
      <c r="K9" s="121" t="n"/>
      <c r="L9" s="123" t="n"/>
      <c r="M9" s="120" t="n"/>
      <c r="N9" s="124" t="n"/>
      <c r="O9" s="125" t="n"/>
      <c r="P9" s="120" t="n"/>
      <c r="Q9" s="108" t="n"/>
      <c r="R9" s="108" t="n"/>
    </row>
    <row r="10" ht="12.75" customHeight="1" s="105">
      <c r="A10" s="108" t="n"/>
      <c r="B10" s="108" t="n"/>
      <c r="C10" s="120" t="n"/>
      <c r="D10" s="108" t="n"/>
      <c r="E10" s="120" t="n"/>
      <c r="F10" s="120" t="n"/>
      <c r="G10" s="120" t="n"/>
      <c r="H10" s="121" t="n"/>
      <c r="I10" s="122" t="n"/>
      <c r="J10" s="121" t="n"/>
      <c r="K10" s="121" t="n"/>
      <c r="L10" s="123" t="n"/>
      <c r="M10" s="120" t="n"/>
      <c r="N10" s="124" t="n"/>
      <c r="O10" s="125" t="n"/>
      <c r="P10" s="120" t="n"/>
      <c r="Q10" s="108" t="n"/>
      <c r="R10" s="108" t="n"/>
    </row>
    <row r="11" ht="12.75" customFormat="1" customHeight="1" s="126">
      <c r="A11" s="127" t="inlineStr">
        <is>
          <t>Total</t>
        </is>
      </c>
      <c r="B11" s="127" t="n"/>
      <c r="C11" s="128" t="n"/>
      <c r="D11" s="129" t="n"/>
      <c r="E11" s="128" t="n"/>
      <c r="F11" s="128" t="n"/>
      <c r="G11" s="128" t="n"/>
      <c r="H11" s="130">
        <f>SUM(H9:H10)</f>
        <v/>
      </c>
      <c r="I11" s="130">
        <f>SUM(I9:I10)</f>
        <v/>
      </c>
      <c r="J11" s="130">
        <f>SUM(J9:J10)</f>
        <v/>
      </c>
      <c r="K11" s="130">
        <f>SUM(K9:K10)</f>
        <v/>
      </c>
      <c r="L11" s="131" t="n"/>
      <c r="M11" s="132" t="n"/>
      <c r="N11" s="133" t="n"/>
      <c r="O11" s="128" t="n"/>
      <c r="P11" s="128" t="n"/>
      <c r="Q11" s="129" t="n"/>
      <c r="R11" s="129" t="n"/>
      <c r="S11" s="134" t="n"/>
      <c r="T11" s="107" t="n"/>
      <c r="U11" s="107" t="n"/>
      <c r="V11" s="107" t="n"/>
    </row>
    <row r="12" ht="12.75" customFormat="1" customHeight="1" s="126">
      <c r="A12" s="135" t="n"/>
      <c r="B12" s="136" t="n"/>
      <c r="C12" s="137" t="n"/>
      <c r="D12" s="138" t="n"/>
      <c r="E12" s="137" t="n"/>
      <c r="F12" s="137" t="n"/>
      <c r="G12" s="137" t="n"/>
      <c r="H12" s="139" t="n"/>
      <c r="I12" s="140" t="n"/>
      <c r="J12" s="139" t="n"/>
      <c r="K12" s="139" t="n"/>
      <c r="L12" s="141" t="n"/>
      <c r="M12" s="137" t="n"/>
      <c r="N12" s="142" t="n"/>
      <c r="O12" s="137" t="n"/>
      <c r="P12" s="137" t="n"/>
      <c r="Q12" s="138" t="n"/>
      <c r="R12" s="143" t="n"/>
      <c r="S12" s="144" t="n"/>
      <c r="T12" s="107" t="n"/>
      <c r="U12" s="107" t="n"/>
      <c r="V12" s="107" t="n"/>
    </row>
    <row r="13" hidden="1" ht="12.75" customHeight="1" s="105">
      <c r="A13" s="108" t="n"/>
      <c r="B13" s="136" t="n"/>
      <c r="C13" s="137" t="n"/>
      <c r="D13" s="138" t="n"/>
      <c r="E13" s="137" t="n"/>
      <c r="F13" s="137" t="n"/>
      <c r="G13" s="137" t="n"/>
      <c r="H13" s="137" t="n"/>
      <c r="I13" s="137" t="n"/>
      <c r="J13" s="137" t="n"/>
      <c r="K13" s="137" t="n"/>
      <c r="L13" s="137" t="n"/>
      <c r="M13" s="137" t="n"/>
      <c r="N13" s="137" t="n"/>
      <c r="O13" s="137" t="n"/>
      <c r="P13" s="137" t="n"/>
      <c r="Q13" s="137" t="n"/>
      <c r="R13" s="137" t="n"/>
      <c r="S13" s="145" t="n"/>
      <c r="T13" s="107" t="n"/>
      <c r="U13" s="107" t="n"/>
      <c r="V13" s="107" t="n"/>
    </row>
    <row r="14" hidden="1" ht="12.75" customFormat="1" customHeight="1" s="126">
      <c r="A14" s="135" t="n"/>
      <c r="B14" s="136" t="n"/>
      <c r="C14" s="137" t="n"/>
      <c r="D14" s="138" t="n"/>
      <c r="E14" s="137" t="n"/>
      <c r="F14" s="137" t="n"/>
      <c r="G14" s="137" t="n"/>
      <c r="H14" s="137" t="n"/>
      <c r="I14" s="137" t="n"/>
      <c r="J14" s="137" t="n"/>
      <c r="K14" s="137" t="n"/>
      <c r="L14" s="137" t="n"/>
      <c r="M14" s="137" t="n"/>
      <c r="N14" s="137" t="n"/>
      <c r="O14" s="137" t="n"/>
      <c r="P14" s="137" t="n"/>
      <c r="Q14" s="137" t="n"/>
      <c r="R14" s="137" t="n"/>
      <c r="S14" s="145" t="n"/>
      <c r="T14" s="107" t="n"/>
      <c r="U14" s="107" t="n"/>
      <c r="V14" s="107" t="n"/>
    </row>
    <row r="15" hidden="1" ht="12.75" customFormat="1" customHeight="1" s="126">
      <c r="A15" s="135" t="n"/>
      <c r="B15" s="136" t="n"/>
      <c r="C15" s="137" t="n"/>
      <c r="D15" s="138" t="n"/>
      <c r="E15" s="137" t="n"/>
      <c r="F15" s="137" t="n"/>
      <c r="G15" s="137" t="n"/>
      <c r="H15" s="137" t="n"/>
      <c r="I15" s="137" t="n"/>
      <c r="J15" s="137" t="n"/>
      <c r="K15" s="137" t="n"/>
      <c r="L15" s="137" t="n"/>
      <c r="M15" s="137" t="n"/>
      <c r="N15" s="137" t="n"/>
      <c r="O15" s="137" t="n"/>
      <c r="P15" s="137" t="n"/>
      <c r="Q15" s="137" t="n"/>
      <c r="R15" s="137" t="n"/>
      <c r="S15" s="145" t="n"/>
      <c r="T15" s="107" t="n"/>
      <c r="U15" s="107" t="n"/>
      <c r="V15" s="107" t="n"/>
    </row>
    <row r="16" hidden="1" ht="12.75" customFormat="1" customHeight="1" s="126">
      <c r="A16" s="135" t="n"/>
      <c r="B16" s="143" t="inlineStr">
        <is>
          <t>Property Address</t>
        </is>
      </c>
      <c r="C16" s="146" t="inlineStr">
        <is>
          <t>Asset Class</t>
        </is>
      </c>
      <c r="D16" s="143" t="inlineStr">
        <is>
          <t>Borrower</t>
        </is>
      </c>
      <c r="E16" s="146" t="n"/>
      <c r="F16" s="146" t="n"/>
      <c r="G16" s="146" t="n"/>
      <c r="H16" s="146" t="n"/>
      <c r="I16" s="146" t="n"/>
      <c r="J16" s="146" t="n"/>
      <c r="K16" s="146" t="n"/>
      <c r="L16" s="146" t="n"/>
      <c r="M16" s="146" t="n"/>
      <c r="N16" s="146" t="n"/>
      <c r="O16" s="146" t="n"/>
      <c r="P16" s="146" t="n"/>
      <c r="Q16" s="146" t="n"/>
      <c r="R16" s="146" t="n"/>
      <c r="S16" s="147" t="n"/>
      <c r="T16" s="107" t="n"/>
      <c r="U16" s="107" t="n"/>
      <c r="V16" s="107" t="n"/>
    </row>
    <row r="17" hidden="1" ht="12.75" customHeight="1" s="105">
      <c r="A17" s="108" t="n"/>
      <c r="B17" s="136" t="n"/>
      <c r="C17" s="137" t="n"/>
      <c r="D17" s="138" t="n"/>
      <c r="E17" s="137" t="n"/>
      <c r="F17" s="137" t="n"/>
      <c r="G17" s="137" t="n"/>
      <c r="H17" s="137" t="n"/>
      <c r="I17" s="137" t="n"/>
      <c r="J17" s="137" t="n"/>
      <c r="K17" s="137" t="n"/>
      <c r="L17" s="137" t="n"/>
      <c r="M17" s="137" t="n"/>
      <c r="N17" s="137" t="n"/>
      <c r="O17" s="137" t="n"/>
      <c r="P17" s="137" t="n"/>
      <c r="Q17" s="137" t="n"/>
      <c r="R17" s="137" t="n"/>
      <c r="S17" s="145" t="n"/>
      <c r="T17" s="107" t="n"/>
      <c r="U17" s="107" t="n"/>
      <c r="V17" s="107" t="n"/>
    </row>
    <row r="18" ht="28.5" customHeight="1" s="105">
      <c r="A18" s="120" t="n"/>
      <c r="B18" s="148" t="inlineStr">
        <is>
          <t>EARLY STAGE / NEGOTIATING</t>
        </is>
      </c>
      <c r="C18" s="149" t="n"/>
      <c r="D18" s="143" t="n"/>
      <c r="E18" s="146" t="n"/>
      <c r="F18" s="150" t="n"/>
      <c r="G18" s="150" t="n"/>
      <c r="H18" s="151" t="n"/>
      <c r="I18" s="152" t="n"/>
      <c r="J18" s="151" t="n"/>
      <c r="K18" s="151" t="n"/>
      <c r="L18" s="153" t="n"/>
      <c r="M18" s="150" t="n"/>
      <c r="N18" s="154" t="n"/>
      <c r="O18" s="146" t="n"/>
      <c r="P18" s="146" t="n"/>
      <c r="Q18" s="143" t="n"/>
      <c r="R18" s="143" t="n"/>
      <c r="S18" s="144" t="n"/>
      <c r="T18" s="107" t="n"/>
      <c r="U18" s="107" t="n"/>
      <c r="V18" s="107" t="n"/>
    </row>
    <row r="19" ht="51" customHeight="1" s="105">
      <c r="A19" s="111" t="inlineStr">
        <is>
          <t>Date Received</t>
        </is>
      </c>
      <c r="B19" s="111" t="inlineStr">
        <is>
          <t>Property Address</t>
        </is>
      </c>
      <c r="C19" s="112" t="inlineStr">
        <is>
          <t>Asset Class</t>
        </is>
      </c>
      <c r="D19" s="113" t="inlineStr">
        <is>
          <t>Borrower</t>
        </is>
      </c>
      <c r="E19" s="114" t="inlineStr">
        <is>
          <t>Senior/
Mezz/ 
Pref</t>
        </is>
      </c>
      <c r="F19" s="114" t="inlineStr">
        <is>
          <t>Deal Type</t>
        </is>
      </c>
      <c r="G19" s="114" t="inlineStr">
        <is>
          <t>Aquistion/ Refinance</t>
        </is>
      </c>
      <c r="H19" s="115" t="inlineStr">
        <is>
          <t>Net Loan (£m)</t>
        </is>
      </c>
      <c r="I19" s="116" t="inlineStr">
        <is>
          <t>REL Return 
(£m)</t>
        </is>
      </c>
      <c r="J19" s="115" t="inlineStr">
        <is>
          <t>Gross Loan (£m)</t>
        </is>
      </c>
      <c r="K19" s="115" t="inlineStr">
        <is>
          <t>Collateral Value (£m)</t>
        </is>
      </c>
      <c r="L19" s="117" t="inlineStr">
        <is>
          <t>LTV</t>
        </is>
      </c>
      <c r="M19" s="114" t="inlineStr">
        <is>
          <t>Length (Months)</t>
        </is>
      </c>
      <c r="N19" s="118" t="inlineStr">
        <is>
          <t>IRR 
Return</t>
        </is>
      </c>
      <c r="O19" s="114" t="inlineStr">
        <is>
          <t>Term Sheet Issued</t>
        </is>
      </c>
      <c r="P19" s="114" t="inlineStr">
        <is>
          <t>Commitment Fee Received</t>
        </is>
      </c>
      <c r="Q19" s="113" t="inlineStr">
        <is>
          <t>Broker / Direct</t>
        </is>
      </c>
      <c r="R19" s="113" t="inlineStr">
        <is>
          <t>Comments</t>
        </is>
      </c>
      <c r="S19" s="119" t="inlineStr">
        <is>
          <t>REL Share (£m)</t>
        </is>
      </c>
      <c r="T19" s="107" t="n"/>
      <c r="U19" s="107" t="n"/>
      <c r="V19" s="107" t="n"/>
    </row>
    <row r="20" ht="12.75" customHeight="1" s="105">
      <c r="A20" s="155" t="n">
        <v>46054</v>
      </c>
      <c r="B20" s="156" t="inlineStr">
        <is>
          <t>Flat A 46 Holland Park</t>
        </is>
      </c>
      <c r="C20" s="120" t="inlineStr">
        <is>
          <t>Hotel</t>
        </is>
      </c>
      <c r="D20" s="157" t="inlineStr">
        <is>
          <t>Westvile Securities</t>
        </is>
      </c>
      <c r="E20" s="120" t="inlineStr">
        <is>
          <t>Senior</t>
        </is>
      </c>
      <c r="F20" s="120" t="inlineStr">
        <is>
          <t>Bridge</t>
        </is>
      </c>
      <c r="G20" s="120" t="inlineStr">
        <is>
          <t>R</t>
        </is>
      </c>
      <c r="H20" s="121" t="n">
        <v>5</v>
      </c>
      <c r="I20" s="122" t="n">
        <v>0.22</v>
      </c>
      <c r="J20" s="121" t="n">
        <v>5.05</v>
      </c>
      <c r="K20" s="121" t="n">
        <v>11</v>
      </c>
      <c r="L20" s="123" t="n">
        <v>0.4545</v>
      </c>
      <c r="M20" s="120" t="n">
        <v>12</v>
      </c>
      <c r="N20" s="124" t="n">
        <v>0.1439</v>
      </c>
      <c r="O20" s="125" t="inlineStr">
        <is>
          <t>N</t>
        </is>
      </c>
      <c r="P20" s="120" t="inlineStr">
        <is>
          <t>N</t>
        </is>
      </c>
      <c r="Q20" s="108" t="inlineStr">
        <is>
          <t>Broker</t>
        </is>
      </c>
      <c r="R20" s="108" t="inlineStr">
        <is>
          <t>Catch up with him</t>
        </is>
      </c>
    </row>
    <row r="21" ht="12.75" customHeight="1" s="105">
      <c r="A21" s="155" t="n">
        <v>46082</v>
      </c>
      <c r="B21" s="156" t="inlineStr">
        <is>
          <t>Assembly London, 77 Fulham Palace Road, Hammersmith W6 8JA</t>
        </is>
      </c>
      <c r="C21" s="120" t="inlineStr">
        <is>
          <t>Office</t>
        </is>
      </c>
      <c r="D21" s="157" t="n"/>
      <c r="E21" s="120" t="inlineStr">
        <is>
          <t>Senior</t>
        </is>
      </c>
      <c r="F21" s="120" t="inlineStr">
        <is>
          <t>Bridge</t>
        </is>
      </c>
      <c r="G21" s="120" t="inlineStr">
        <is>
          <t>R</t>
        </is>
      </c>
      <c r="H21" s="121" t="n">
        <v>13</v>
      </c>
      <c r="I21" s="122" t="n"/>
      <c r="J21" s="121" t="n"/>
      <c r="K21" s="121" t="n">
        <v>17</v>
      </c>
      <c r="L21" s="123" t="n">
        <v>0.76</v>
      </c>
      <c r="M21" s="120" t="n">
        <v>12</v>
      </c>
      <c r="N21" s="124" t="n"/>
      <c r="O21" s="125" t="inlineStr">
        <is>
          <t>N</t>
        </is>
      </c>
      <c r="P21" s="120" t="inlineStr">
        <is>
          <t>N</t>
        </is>
      </c>
      <c r="Q21" s="108" t="inlineStr">
        <is>
          <t>Broker</t>
        </is>
      </c>
      <c r="R21" s="108" t="inlineStr">
        <is>
          <t>Refinance of existing lender. Planning uplift mentioned. GDV stated</t>
        </is>
      </c>
      <c r="S21" s="158" t="n"/>
      <c r="T21" s="107" t="n"/>
      <c r="U21" s="107" t="n"/>
      <c r="V21" s="107" t="n"/>
    </row>
    <row r="22" ht="12" customHeight="1" s="105">
      <c r="A22" s="155" t="n">
        <v>46082</v>
      </c>
      <c r="B22" s="157" t="inlineStr">
        <is>
          <t>17 Dorset Square, NW1 6QB</t>
        </is>
      </c>
      <c r="C22" s="120" t="inlineStr">
        <is>
          <t>Office</t>
        </is>
      </c>
      <c r="D22" s="157" t="inlineStr">
        <is>
          <t>Amine Abid - UAE HNW</t>
        </is>
      </c>
      <c r="E22" s="120" t="inlineStr">
        <is>
          <t>Senior</t>
        </is>
      </c>
      <c r="F22" s="120" t="inlineStr">
        <is>
          <t>Bridge</t>
        </is>
      </c>
      <c r="G22" s="120" t="inlineStr">
        <is>
          <t>R</t>
        </is>
      </c>
      <c r="H22" s="121" t="n">
        <v>3.2</v>
      </c>
      <c r="I22" s="122" t="n">
        <v>0.774</v>
      </c>
      <c r="J22" s="121" t="n">
        <v>3.2</v>
      </c>
      <c r="K22" s="121" t="n">
        <v>6.5</v>
      </c>
      <c r="L22" s="123" t="n">
        <v>0.4923</v>
      </c>
      <c r="M22" s="120" t="n">
        <v>12</v>
      </c>
      <c r="N22" s="124" t="n">
        <v>0.1323</v>
      </c>
      <c r="O22" s="125" t="inlineStr">
        <is>
          <t>N</t>
        </is>
      </c>
      <c r="P22" s="120" t="inlineStr">
        <is>
          <t>N</t>
        </is>
      </c>
      <c r="Q22" s="108" t="inlineStr">
        <is>
          <t>Broker</t>
        </is>
      </c>
      <c r="R22" s="108" t="inlineStr">
        <is>
          <t>GDV stated</t>
        </is>
      </c>
      <c r="S22" s="158" t="n"/>
      <c r="T22" s="107" t="n"/>
      <c r="U22" s="107" t="n"/>
      <c r="V22" s="107" t="n"/>
    </row>
    <row r="23" ht="12.75" customHeight="1" s="105">
      <c r="A23" s="155" t="n">
        <v>46143</v>
      </c>
      <c r="B23" s="157" t="inlineStr">
        <is>
          <t>Eagle Tower, Cheltenham</t>
        </is>
      </c>
      <c r="C23" s="120" t="inlineStr">
        <is>
          <t>Office</t>
        </is>
      </c>
      <c r="D23" s="157" t="inlineStr">
        <is>
          <t>TBC / acquiring sponsor</t>
        </is>
      </c>
      <c r="E23" s="120" t="inlineStr">
        <is>
          <t>Senior</t>
        </is>
      </c>
      <c r="F23" s="120" t="inlineStr">
        <is>
          <t>Bridge</t>
        </is>
      </c>
      <c r="G23" s="120" t="inlineStr">
        <is>
          <t>R</t>
        </is>
      </c>
      <c r="H23" s="121" t="n">
        <v>9.01</v>
      </c>
      <c r="I23" s="122" t="n"/>
      <c r="J23" s="121" t="n">
        <v>9.1</v>
      </c>
      <c r="K23" s="121" t="n">
        <v>14</v>
      </c>
      <c r="L23" s="123" t="n">
        <v>0.65</v>
      </c>
      <c r="M23" s="120" t="n">
        <v>18</v>
      </c>
      <c r="N23" s="124" t="n"/>
      <c r="O23" s="125" t="inlineStr">
        <is>
          <t>Y</t>
        </is>
      </c>
      <c r="P23" s="120" t="inlineStr">
        <is>
          <t>N</t>
        </is>
      </c>
      <c r="Q23" s="108" t="inlineStr">
        <is>
          <t>Broker</t>
        </is>
      </c>
      <c r="R23" s="108" t="inlineStr">
        <is>
          <t xml:space="preserve">Regional office refinancing immediately after acquisition. </t>
        </is>
      </c>
      <c r="S23" s="158" t="n"/>
      <c r="T23" s="107" t="n"/>
      <c r="U23" s="107" t="n"/>
      <c r="V23" s="107" t="n"/>
    </row>
    <row r="24" ht="12.75" customHeight="1" s="105">
      <c r="A24" s="155" t="n">
        <v>46143</v>
      </c>
      <c r="B24" s="157" t="inlineStr">
        <is>
          <t>TBC</t>
        </is>
      </c>
      <c r="C24" s="120" t="inlineStr">
        <is>
          <t>TBC</t>
        </is>
      </c>
      <c r="D24" s="157" t="inlineStr">
        <is>
          <t>Bemal Patel</t>
        </is>
      </c>
      <c r="E24" s="120" t="inlineStr">
        <is>
          <t>Senior</t>
        </is>
      </c>
      <c r="F24" s="120" t="inlineStr">
        <is>
          <t>Bridge</t>
        </is>
      </c>
      <c r="G24" s="120" t="inlineStr">
        <is>
          <t>R</t>
        </is>
      </c>
      <c r="H24" s="121" t="n">
        <v>8.01</v>
      </c>
      <c r="I24" s="122" t="n"/>
      <c r="J24" s="121" t="n">
        <v>8.9</v>
      </c>
      <c r="K24" s="121" t="n">
        <v>17.45</v>
      </c>
      <c r="L24" s="123" t="n">
        <v>0.51</v>
      </c>
      <c r="M24" s="120" t="n">
        <v>9</v>
      </c>
      <c r="N24" s="124" t="n"/>
      <c r="O24" s="125" t="inlineStr">
        <is>
          <t>Y</t>
        </is>
      </c>
      <c r="P24" s="120" t="inlineStr">
        <is>
          <t>N</t>
        </is>
      </c>
      <c r="Q24" s="108" t="inlineStr">
        <is>
          <t>Broker</t>
        </is>
      </c>
      <c r="R24" s="108" t="inlineStr">
        <is>
          <t>REL indicative refinance terms issued</t>
        </is>
      </c>
      <c r="S24" s="158" t="n"/>
      <c r="T24" s="107" t="n"/>
      <c r="U24" s="107" t="n"/>
      <c r="V24" s="107" t="n"/>
    </row>
    <row r="25" ht="12.75" customHeight="1" s="105">
      <c r="A25" s="155" t="n">
        <v>46143</v>
      </c>
      <c r="B25" s="157" t="inlineStr">
        <is>
          <t>Stouts Hill, Lampern Hill, Uley, Dursley, Gloucestershire GL11 5BT</t>
        </is>
      </c>
      <c r="C25" s="120" t="inlineStr">
        <is>
          <t>Residential / Country estate</t>
        </is>
      </c>
      <c r="D25" s="157" t="inlineStr">
        <is>
          <t>HNW offshore family trust / offshore company</t>
        </is>
      </c>
      <c r="E25" s="120" t="inlineStr">
        <is>
          <t>Senior</t>
        </is>
      </c>
      <c r="F25" s="120" t="inlineStr">
        <is>
          <t>Bridge</t>
        </is>
      </c>
      <c r="G25" s="120" t="inlineStr">
        <is>
          <t>R</t>
        </is>
      </c>
      <c r="H25" s="121" t="n">
        <v>3.5</v>
      </c>
      <c r="I25" s="122" t="n"/>
      <c r="J25" s="121" t="n">
        <v>3.5</v>
      </c>
      <c r="K25" s="121" t="n">
        <v>6.2</v>
      </c>
      <c r="L25" s="123" t="n">
        <v>0.5600000000000001</v>
      </c>
      <c r="M25" s="120" t="n">
        <v>12</v>
      </c>
      <c r="N25" s="124" t="n"/>
      <c r="O25" s="125" t="inlineStr">
        <is>
          <t>N</t>
        </is>
      </c>
      <c r="P25" s="120" t="inlineStr">
        <is>
          <t>N</t>
        </is>
      </c>
      <c r="Q25" s="108" t="inlineStr">
        <is>
          <t>Broker</t>
        </is>
      </c>
      <c r="R25" s="108" t="inlineStr">
        <is>
          <t xml:space="preserve">Refinance enquiry for Grade II* country home in Uley, Gloucestershire. </t>
        </is>
      </c>
      <c r="S25" s="158" t="n"/>
      <c r="T25" s="107" t="n"/>
      <c r="U25" s="107" t="n"/>
      <c r="V25" s="107" t="n"/>
    </row>
    <row r="26" ht="12.75" customHeight="1" s="105">
      <c r="A26" s="155" t="n">
        <v>46174</v>
      </c>
      <c r="B26" s="157" t="inlineStr">
        <is>
          <t>Brighton Palace Pier, Brighton</t>
        </is>
      </c>
      <c r="C26" s="120" t="inlineStr">
        <is>
          <t>Leisure / Entertainment</t>
        </is>
      </c>
      <c r="D26" s="157" t="inlineStr">
        <is>
          <t>Expression Capital Partners / Elliot Hall</t>
        </is>
      </c>
      <c r="E26" s="120" t="inlineStr">
        <is>
          <t>Senior</t>
        </is>
      </c>
      <c r="F26" s="120" t="inlineStr">
        <is>
          <t>Bridge</t>
        </is>
      </c>
      <c r="G26" s="120" t="inlineStr">
        <is>
          <t>A</t>
        </is>
      </c>
      <c r="H26" s="121" t="n">
        <v>16</v>
      </c>
      <c r="I26" s="122" t="n"/>
      <c r="J26" s="121" t="n">
        <v>16</v>
      </c>
      <c r="K26" s="121" t="n">
        <v>18.3</v>
      </c>
      <c r="L26" s="123" t="n">
        <v>0.87</v>
      </c>
      <c r="M26" s="120" t="n">
        <v>12</v>
      </c>
      <c r="N26" s="124" t="n"/>
      <c r="O26" s="125" t="inlineStr">
        <is>
          <t>N</t>
        </is>
      </c>
      <c r="P26" s="120" t="inlineStr">
        <is>
          <t>N</t>
        </is>
      </c>
      <c r="Q26" s="108" t="inlineStr">
        <is>
          <t>Broker</t>
        </is>
      </c>
      <c r="R26" s="108" t="inlineStr">
        <is>
          <t>Acquisition of Brighton Palace Pier for £17.5m</t>
        </is>
      </c>
      <c r="S26" s="158" t="n"/>
      <c r="T26" s="107" t="n"/>
      <c r="U26" s="107" t="n"/>
      <c r="V26" s="107" t="n"/>
    </row>
    <row r="27" ht="12.75" customHeight="1" s="105">
      <c r="A27" s="155" t="n">
        <v>46174</v>
      </c>
      <c r="B27" s="108" t="inlineStr">
        <is>
          <t>27 Gemini Business Park, Hornet Way, Beckton, E6 7FF</t>
        </is>
      </c>
      <c r="C27" s="120" t="inlineStr">
        <is>
          <t>Industrial</t>
        </is>
      </c>
      <c r="D27" s="108" t="inlineStr">
        <is>
          <t>New UK SPV / global mobility finance company</t>
        </is>
      </c>
      <c r="E27" s="120" t="inlineStr">
        <is>
          <t>Senior</t>
        </is>
      </c>
      <c r="F27" s="120" t="inlineStr">
        <is>
          <t>Bridge</t>
        </is>
      </c>
      <c r="G27" s="120" t="inlineStr">
        <is>
          <t>A</t>
        </is>
      </c>
      <c r="H27" s="121" t="n">
        <v>6.73</v>
      </c>
      <c r="I27" s="122" t="n">
        <v>1.212</v>
      </c>
      <c r="J27" s="121" t="n">
        <v>6.82</v>
      </c>
      <c r="K27" s="121" t="n">
        <v>11</v>
      </c>
      <c r="L27" s="123" t="n">
        <v>0.62</v>
      </c>
      <c r="M27" s="120" t="n">
        <v>18</v>
      </c>
      <c r="N27" s="124" t="n">
        <v>0.1184</v>
      </c>
      <c r="O27" s="125" t="inlineStr">
        <is>
          <t>Y</t>
        </is>
      </c>
      <c r="P27" s="120" t="inlineStr">
        <is>
          <t>N</t>
        </is>
      </c>
      <c r="Q27" s="108" t="inlineStr">
        <is>
          <t>Broker</t>
        </is>
      </c>
      <c r="R27" s="108" t="inlineStr">
        <is>
          <t>Revised TS issued 10/09 — same terms, refreshed issuance and offer dates. Moove has acquired the asset with its own funds. Chased 15/09 for feedback; no response yet.</t>
        </is>
      </c>
    </row>
    <row r="28" ht="12.75" customHeight="1" s="105">
      <c r="A28" s="155" t="n">
        <v>46174</v>
      </c>
      <c r="B28" s="108" t="inlineStr">
        <is>
          <t>Fulham Island, Jerdan Place / Farm Lane, London SW6 1BE</t>
        </is>
      </c>
      <c r="C28" s="120" t="inlineStr">
        <is>
          <t>Mixed-use</t>
        </is>
      </c>
      <c r="D28" s="108" t="inlineStr">
        <is>
          <t>Leifer family / TBC</t>
        </is>
      </c>
      <c r="E28" s="120" t="inlineStr">
        <is>
          <t>Senior</t>
        </is>
      </c>
      <c r="F28" s="120" t="inlineStr">
        <is>
          <t>Bridge</t>
        </is>
      </c>
      <c r="G28" s="120" t="inlineStr">
        <is>
          <t>A</t>
        </is>
      </c>
      <c r="H28" s="121" t="n">
        <v>13.46</v>
      </c>
      <c r="I28" s="122" t="n"/>
      <c r="J28" s="121" t="n">
        <v>13.6</v>
      </c>
      <c r="K28" s="121" t="n">
        <v>19</v>
      </c>
      <c r="L28" s="123" t="n">
        <v>0.73</v>
      </c>
      <c r="M28" s="120" t="n">
        <v>12</v>
      </c>
      <c r="N28" s="124" t="n"/>
      <c r="O28" s="125" t="inlineStr">
        <is>
          <t>Y</t>
        </is>
      </c>
      <c r="P28" s="120" t="inlineStr">
        <is>
          <t>N</t>
        </is>
      </c>
      <c r="Q28" s="108" t="inlineStr">
        <is>
          <t>Broker</t>
        </is>
      </c>
      <c r="R28" s="108" t="inlineStr">
        <is>
          <t xml:space="preserve">Updated terms issued. </t>
        </is>
      </c>
    </row>
    <row r="29" ht="12.75" customHeight="1" s="105">
      <c r="A29" s="155" t="n">
        <v>46174</v>
      </c>
      <c r="B29" s="108" t="inlineStr">
        <is>
          <t>Indigo Scott, Hammersmith</t>
        </is>
      </c>
      <c r="C29" s="120" t="inlineStr">
        <is>
          <t>Residential / Development</t>
        </is>
      </c>
      <c r="D29" s="108" t="inlineStr">
        <is>
          <t>Indigo Scott / Jeremy TBC</t>
        </is>
      </c>
      <c r="E29" s="120" t="inlineStr">
        <is>
          <t>Senior</t>
        </is>
      </c>
      <c r="F29" s="120" t="inlineStr">
        <is>
          <t>Bridge</t>
        </is>
      </c>
      <c r="G29" s="120" t="inlineStr">
        <is>
          <t>TBC</t>
        </is>
      </c>
      <c r="H29" s="121" t="n">
        <v>12.2</v>
      </c>
      <c r="I29" s="122" t="n"/>
      <c r="J29" s="121" t="n">
        <v>13.94</v>
      </c>
      <c r="K29" s="121" t="n">
        <v>20.5</v>
      </c>
      <c r="L29" s="123" t="n">
        <v>0.68</v>
      </c>
      <c r="M29" s="120" t="n">
        <v>12</v>
      </c>
      <c r="N29" s="124" t="n"/>
      <c r="O29" s="125" t="inlineStr">
        <is>
          <t>Y</t>
        </is>
      </c>
      <c r="P29" s="120" t="inlineStr">
        <is>
          <t>N</t>
        </is>
      </c>
      <c r="Q29" s="108" t="inlineStr">
        <is>
          <t>Broker</t>
        </is>
      </c>
      <c r="R29" s="108" t="inlineStr">
        <is>
          <t xml:space="preserve">Latest REL position caps gross loan at 68% LTV </t>
        </is>
      </c>
    </row>
    <row r="30" ht="12.75" customHeight="1" s="105">
      <c r="A30" s="155" t="n">
        <v>46204</v>
      </c>
      <c r="B30" s="108" t="inlineStr">
        <is>
          <t>10-40 Ealing Broadway</t>
        </is>
      </c>
      <c r="C30" s="120" t="inlineStr">
        <is>
          <t>Retail</t>
        </is>
      </c>
      <c r="D30" s="108" t="inlineStr">
        <is>
          <t>TBC</t>
        </is>
      </c>
      <c r="E30" s="120" t="inlineStr">
        <is>
          <t>Senior</t>
        </is>
      </c>
      <c r="F30" s="120" t="inlineStr">
        <is>
          <t>Bridge</t>
        </is>
      </c>
      <c r="G30" s="120" t="inlineStr">
        <is>
          <t>A</t>
        </is>
      </c>
      <c r="H30" s="121" t="n">
        <v>14.7</v>
      </c>
      <c r="I30" s="122" t="n"/>
      <c r="J30" s="121" t="n">
        <v>15</v>
      </c>
      <c r="K30" s="121" t="n">
        <v>25.86</v>
      </c>
      <c r="L30" s="123" t="n">
        <v>0.58</v>
      </c>
      <c r="M30" s="120" t="n">
        <v>12</v>
      </c>
      <c r="N30" s="124" t="n"/>
      <c r="O30" s="125" t="inlineStr">
        <is>
          <t>Y</t>
        </is>
      </c>
      <c r="P30" s="120" t="inlineStr">
        <is>
          <t>N</t>
        </is>
      </c>
      <c r="Q30" s="108" t="inlineStr">
        <is>
          <t>Broker</t>
        </is>
      </c>
      <c r="R30" s="108" t="inlineStr">
        <is>
          <t xml:space="preserve">High-level terms issued. Loan amount £15.0m at 58% LTV/LTPP. </t>
        </is>
      </c>
    </row>
    <row r="31" ht="12.75" customHeight="1" s="105">
      <c r="A31" s="155" t="n">
        <v>46212</v>
      </c>
      <c r="B31" s="108" t="inlineStr">
        <is>
          <t>Houndswood House Care Home, Harper Lane, Radlett WD7 7HU</t>
        </is>
      </c>
      <c r="C31" s="120" t="inlineStr">
        <is>
          <t>Care Home</t>
        </is>
      </c>
      <c r="D31" s="108" t="inlineStr">
        <is>
          <t>Anahi Properties Ltd (Hindocha)</t>
        </is>
      </c>
      <c r="E31" s="120" t="inlineStr">
        <is>
          <t>Senior</t>
        </is>
      </c>
      <c r="F31" s="120" t="inlineStr">
        <is>
          <t>Bridge</t>
        </is>
      </c>
      <c r="G31" s="120" t="inlineStr">
        <is>
          <t>R</t>
        </is>
      </c>
      <c r="H31" s="121" t="n">
        <v>0.86</v>
      </c>
      <c r="I31" s="122" t="n">
        <v>0.107</v>
      </c>
      <c r="J31" s="121" t="n">
        <v>0.95</v>
      </c>
      <c r="K31" s="121" t="n">
        <v>2.5</v>
      </c>
      <c r="L31" s="123" t="n">
        <v>0.38</v>
      </c>
      <c r="M31" s="120" t="n">
        <v>12</v>
      </c>
      <c r="N31" s="124" t="n">
        <v>0.1125</v>
      </c>
      <c r="O31" s="125" t="inlineStr">
        <is>
          <t>Y</t>
        </is>
      </c>
      <c r="P31" s="120" t="inlineStr">
        <is>
          <t>N</t>
        </is>
      </c>
      <c r="Q31" s="108" t="inlineStr">
        <is>
          <t>Direct</t>
        </is>
      </c>
      <c r="R31" s="108" t="inlineStr">
        <is>
          <t>TS 09/07: £0.95m, 9.75%, 12m, 38% LTV. Anahi Properties. Offer lapsed 30/07 - chase.</t>
        </is>
      </c>
    </row>
    <row r="32" ht="12.75" customHeight="1" s="105">
      <c r="A32" s="155" t="n">
        <v>46217</v>
      </c>
      <c r="B32" s="108" t="inlineStr">
        <is>
          <t>31-32 Rutland Gate &amp; 58-59 Montpelier Walk, SW7 1BN</t>
        </is>
      </c>
      <c r="C32" s="120" t="inlineStr">
        <is>
          <t>Resi (Super Prime)</t>
        </is>
      </c>
      <c r="D32" s="108" t="inlineStr">
        <is>
          <t>Four Square (Saudi investor equity)</t>
        </is>
      </c>
      <c r="E32" s="120" t="inlineStr">
        <is>
          <t>Senior</t>
        </is>
      </c>
      <c r="F32" s="120" t="inlineStr">
        <is>
          <t>Bridge</t>
        </is>
      </c>
      <c r="G32" s="120" t="inlineStr">
        <is>
          <t>A</t>
        </is>
      </c>
      <c r="H32" s="121" t="n"/>
      <c r="I32" s="122" t="n"/>
      <c r="J32" s="121" t="n"/>
      <c r="K32" s="121" t="n">
        <v>18.5</v>
      </c>
      <c r="L32" s="123" t="n"/>
      <c r="M32" s="120" t="n"/>
      <c r="N32" s="124" t="n"/>
      <c r="O32" s="125" t="inlineStr">
        <is>
          <t>N</t>
        </is>
      </c>
      <c r="P32" s="120" t="inlineStr">
        <is>
          <t>N</t>
        </is>
      </c>
      <c r="Q32" s="108" t="inlineStr">
        <is>
          <t>Broker</t>
        </is>
      </c>
      <c r="R32" s="108" t="inlineStr">
        <is>
          <t>Enquiry 14/07; awaiting info pack. ~75% LTV acq bridge indicated. Irwell/Lee Neenan. Figures TBC.</t>
        </is>
      </c>
    </row>
    <row r="33" ht="12.75" customHeight="1" s="105">
      <c r="A33" s="155" t="n">
        <v>46220</v>
      </c>
      <c r="B33" s="108" t="inlineStr">
        <is>
          <t>Zone 2 PBSA, Dulwich ('Cresswick')</t>
        </is>
      </c>
      <c r="C33" s="120" t="inlineStr">
        <is>
          <t>PBSA / Student</t>
        </is>
      </c>
      <c r="D33" s="108" t="inlineStr">
        <is>
          <t>Cresswick</t>
        </is>
      </c>
      <c r="E33" s="120" t="inlineStr">
        <is>
          <t>TBC</t>
        </is>
      </c>
      <c r="F33" s="120" t="inlineStr">
        <is>
          <t>Development</t>
        </is>
      </c>
      <c r="G33" s="120" t="inlineStr">
        <is>
          <t>A</t>
        </is>
      </c>
      <c r="H33" s="121" t="n">
        <v>77</v>
      </c>
      <c r="I33" s="122" t="n"/>
      <c r="J33" s="121" t="n">
        <v>90.38</v>
      </c>
      <c r="K33" s="121" t="n">
        <v>148.63</v>
      </c>
      <c r="L33" s="123" t="n">
        <v>0.6081</v>
      </c>
      <c r="M33" s="120" t="n">
        <v>30</v>
      </c>
      <c r="N33" s="124" t="n"/>
      <c r="O33" s="125" t="inlineStr">
        <is>
          <t>N</t>
        </is>
      </c>
      <c r="P33" s="120" t="inlineStr">
        <is>
          <t>N</t>
        </is>
      </c>
      <c r="Q33" s="108" t="inlineStr">
        <is>
          <t>Broker</t>
        </is>
      </c>
      <c r="R33" s="108" t="inlineStr">
        <is>
          <t>DA 17/07: £90.4m gross, GDV £148.6m, 30m PBSA. Via GLPG/OakNorth. REL role TBC.</t>
        </is>
      </c>
    </row>
    <row r="34" ht="12.75" customHeight="1" s="105">
      <c r="A34" s="155" t="n">
        <v>46237</v>
      </c>
      <c r="B34" s="108" t="inlineStr">
        <is>
          <t>London Retail Parade Portfolio (5 parades, 29 units - Woodford/E17/SE13/SE12/Bexley)</t>
        </is>
      </c>
      <c r="C34" s="120" t="inlineStr">
        <is>
          <t>Mixed-use</t>
        </is>
      </c>
      <c r="D34" s="108" t="inlineStr">
        <is>
          <t>Eastway Estates Ltd (Prideview Group)</t>
        </is>
      </c>
      <c r="E34" s="120" t="inlineStr">
        <is>
          <t>Senior</t>
        </is>
      </c>
      <c r="F34" s="120" t="inlineStr">
        <is>
          <t>Bridge</t>
        </is>
      </c>
      <c r="G34" s="120" t="inlineStr">
        <is>
          <t>A</t>
        </is>
      </c>
      <c r="H34" s="121" t="n">
        <v>5.54</v>
      </c>
      <c r="I34" s="122" t="n">
        <v>1.06</v>
      </c>
      <c r="J34" s="121" t="n">
        <v>5.6</v>
      </c>
      <c r="K34" s="121" t="n">
        <v>8</v>
      </c>
      <c r="L34" s="123" t="n">
        <v>0.7</v>
      </c>
      <c r="M34" s="120" t="n">
        <v>18</v>
      </c>
      <c r="N34" s="124" t="n">
        <v>0.127</v>
      </c>
      <c r="O34" s="125" t="inlineStr">
        <is>
          <t>N</t>
        </is>
      </c>
      <c r="P34" s="120" t="inlineStr">
        <is>
          <t>N</t>
        </is>
      </c>
      <c r="Q34" s="108" t="inlineStr">
        <is>
          <t>Broker</t>
        </is>
      </c>
      <c r="R34" s="108" t="inlineStr">
        <is>
          <t>Indic. 05/08: £5.6m, 70% LTV, 11%, 18m. Prideview SPV via Mantra. Borrower wants 24m.</t>
        </is>
      </c>
    </row>
    <row r="35" ht="12.75" customHeight="1" s="105">
      <c r="A35" s="155" t="n">
        <v>46239</v>
      </c>
      <c r="B35" s="108" t="inlineStr">
        <is>
          <t>Lindsey House, 57-60 Lincoln's Inn Fields, WC2A 3LJ</t>
        </is>
      </c>
      <c r="C35" s="120" t="inlineStr">
        <is>
          <t>Office</t>
        </is>
      </c>
      <c r="D35" s="108" t="inlineStr">
        <is>
          <t>Lindsey 21 Ltd</t>
        </is>
      </c>
      <c r="E35" s="120" t="inlineStr">
        <is>
          <t>Senior</t>
        </is>
      </c>
      <c r="F35" s="120" t="inlineStr">
        <is>
          <t>Bridge</t>
        </is>
      </c>
      <c r="G35" s="120" t="inlineStr">
        <is>
          <t>A</t>
        </is>
      </c>
      <c r="H35" s="121" t="n">
        <v>10.02</v>
      </c>
      <c r="I35" s="122" t="n">
        <v>1.32</v>
      </c>
      <c r="J35" s="121" t="n">
        <v>10.8</v>
      </c>
      <c r="K35" s="121" t="n">
        <v>16.62</v>
      </c>
      <c r="L35" s="123" t="n">
        <v>0.6498</v>
      </c>
      <c r="M35" s="120" t="n">
        <v>9</v>
      </c>
      <c r="N35" s="124" t="n">
        <v>0.163</v>
      </c>
      <c r="O35" s="125" t="inlineStr">
        <is>
          <t>Y</t>
        </is>
      </c>
      <c r="P35" s="120" t="inlineStr">
        <is>
          <t>Y</t>
        </is>
      </c>
      <c r="Q35" s="108" t="inlineStr">
        <is>
          <t>Broker</t>
        </is>
      </c>
      <c r="R35" s="108" t="inlineStr">
        <is>
          <t>TS signed + £15k commitment fee paid; net £10.02m, 11%, 9m. City Financial Mortgages. -&gt; legals, ~early-Sept completion.</t>
        </is>
      </c>
    </row>
    <row r="36" ht="12.75" customHeight="1" s="105">
      <c r="A36" s="155" t="n">
        <v>46241</v>
      </c>
      <c r="B36" s="108" t="inlineStr">
        <is>
          <t>Flats 1 &amp; 2, De Vere Gardens, Kensington, W8</t>
        </is>
      </c>
      <c r="C36" s="120" t="inlineStr">
        <is>
          <t>Resi</t>
        </is>
      </c>
      <c r="D36" s="108" t="inlineStr">
        <is>
          <t>Ladi (via IPCA Group)</t>
        </is>
      </c>
      <c r="E36" s="120" t="inlineStr">
        <is>
          <t>Senior</t>
        </is>
      </c>
      <c r="F36" s="120" t="inlineStr">
        <is>
          <t>Bridge</t>
        </is>
      </c>
      <c r="G36" s="120" t="inlineStr">
        <is>
          <t>A</t>
        </is>
      </c>
      <c r="H36" s="121" t="n"/>
      <c r="I36" s="122" t="n"/>
      <c r="J36" s="121" t="n"/>
      <c r="K36" s="121" t="n">
        <v>4.5</v>
      </c>
      <c r="L36" s="123" t="n"/>
      <c r="M36" s="120" t="n">
        <v>12</v>
      </c>
      <c r="N36" s="124" t="n"/>
      <c r="O36" s="125" t="inlineStr">
        <is>
          <t>N</t>
        </is>
      </c>
      <c r="P36" s="120" t="inlineStr">
        <is>
          <t>N</t>
        </is>
      </c>
      <c r="Q36" s="108" t="inlineStr">
        <is>
          <t>Broker</t>
        </is>
      </c>
      <c r="R36" s="108" t="inlineStr">
        <is>
          <t>Enquiry 07/08: acq from receivers £4.5m. IPCA/Jignesh Desai. Terms TBC.</t>
        </is>
      </c>
    </row>
    <row r="37" ht="15" customHeight="1" s="105">
      <c r="A37" s="155" t="n">
        <v>46244</v>
      </c>
      <c r="B37" s="108" t="inlineStr">
        <is>
          <t>Quadrant Shopping Centre, Dunstable, LU5 4RH</t>
        </is>
      </c>
      <c r="C37" s="120" t="inlineStr">
        <is>
          <t>Retail</t>
        </is>
      </c>
      <c r="D37" s="108" t="inlineStr">
        <is>
          <t>MGI Dunstable Ltd (Malhotra/Jain)</t>
        </is>
      </c>
      <c r="E37" s="120" t="inlineStr">
        <is>
          <t>Senior</t>
        </is>
      </c>
      <c r="F37" s="120" t="inlineStr">
        <is>
          <t>Bridge</t>
        </is>
      </c>
      <c r="G37" s="120" t="inlineStr">
        <is>
          <t>A</t>
        </is>
      </c>
      <c r="H37" s="121" t="n">
        <v>6.75</v>
      </c>
      <c r="I37" s="122" t="n">
        <v>0.99</v>
      </c>
      <c r="J37" s="121" t="n">
        <v>6.82</v>
      </c>
      <c r="K37" s="121" t="n">
        <v>8.52</v>
      </c>
      <c r="L37" s="123" t="n">
        <v>0.8005</v>
      </c>
      <c r="M37" s="120" t="n">
        <v>12</v>
      </c>
      <c r="N37" s="124" t="n">
        <v>0.145</v>
      </c>
      <c r="O37" s="125" t="inlineStr">
        <is>
          <t>N</t>
        </is>
      </c>
      <c r="P37" s="120" t="inlineStr">
        <is>
          <t>N</t>
        </is>
      </c>
      <c r="Q37" s="108" t="inlineStr">
        <is>
          <t>Broker</t>
        </is>
      </c>
      <c r="R37" s="108" t="inlineStr">
        <is>
          <t>Indic. 12/08: £6.82m, 80% LTV, 12%, 12m. Fast Forward Capital. Borrower pushing 15m/nil-exit.</t>
        </is>
      </c>
    </row>
    <row r="38" ht="15" customHeight="1" s="105">
      <c r="A38" s="155" t="n">
        <v>46251</v>
      </c>
      <c r="B38" s="108" t="inlineStr">
        <is>
          <t>St Giles Hotel, London</t>
        </is>
      </c>
      <c r="C38" s="120" t="inlineStr">
        <is>
          <t>Hotel</t>
        </is>
      </c>
      <c r="D38" s="108" t="inlineStr">
        <is>
          <t>via Bridgemore Capital (Joe Eden)</t>
        </is>
      </c>
      <c r="E38" s="120" t="inlineStr">
        <is>
          <t>Senior</t>
        </is>
      </c>
      <c r="F38" s="120" t="inlineStr">
        <is>
          <t>Bridge</t>
        </is>
      </c>
      <c r="G38" s="120" t="inlineStr">
        <is>
          <t>A</t>
        </is>
      </c>
      <c r="H38" s="121" t="n"/>
      <c r="I38" s="122" t="n"/>
      <c r="J38" s="121" t="n"/>
      <c r="K38" s="121" t="n">
        <v>31.5</v>
      </c>
      <c r="L38" s="123" t="n"/>
      <c r="M38" s="120" t="n"/>
      <c r="N38" s="124" t="n"/>
      <c r="O38" s="125" t="inlineStr">
        <is>
          <t>N</t>
        </is>
      </c>
      <c r="P38" s="120" t="inlineStr">
        <is>
          <t>N</t>
        </is>
      </c>
      <c r="Q38" s="108" t="inlineStr">
        <is>
          <t>Broker</t>
        </is>
      </c>
      <c r="R38" s="108" t="inlineStr">
        <is>
          <t>Enquiry 17/08: £31.5m hotel acq, IV ~£55m. Bridgemore. Terms TBC.</t>
        </is>
      </c>
    </row>
    <row r="39" ht="12.75" customHeight="1" s="105">
      <c r="A39" s="155" t="n">
        <v>46251</v>
      </c>
      <c r="B39" s="108" t="inlineStr">
        <is>
          <t>Land loan - York (confidential)</t>
        </is>
      </c>
      <c r="C39" s="120" t="inlineStr">
        <is>
          <t>Land</t>
        </is>
      </c>
      <c r="D39" s="108" t="inlineStr">
        <is>
          <t>via GLPG (Nick Swerner)</t>
        </is>
      </c>
      <c r="E39" s="120" t="inlineStr">
        <is>
          <t>Senior</t>
        </is>
      </c>
      <c r="F39" s="120" t="inlineStr">
        <is>
          <t>Bridge</t>
        </is>
      </c>
      <c r="G39" s="120" t="inlineStr">
        <is>
          <t>A</t>
        </is>
      </c>
      <c r="H39" s="121" t="n"/>
      <c r="I39" s="122" t="n"/>
      <c r="J39" s="121" t="n"/>
      <c r="K39" s="121" t="n"/>
      <c r="L39" s="123" t="n"/>
      <c r="M39" s="120" t="n"/>
      <c r="N39" s="124" t="n"/>
      <c r="O39" s="125" t="inlineStr">
        <is>
          <t>N</t>
        </is>
      </c>
      <c r="P39" s="120" t="inlineStr">
        <is>
          <t>N</t>
        </is>
      </c>
      <c r="Q39" s="108" t="inlineStr">
        <is>
          <t>Broker</t>
        </is>
      </c>
      <c r="R39" s="108" t="inlineStr">
        <is>
          <t>Confidential land enquiry 17/08. GLPG/Nick Swerner. Details TBC.</t>
        </is>
      </c>
    </row>
    <row r="40" ht="13.5" customHeight="1" s="105">
      <c r="A40" s="155" t="n">
        <v>46253</v>
      </c>
      <c r="B40" s="108" t="inlineStr">
        <is>
          <t>Housing First Group / Serco portfolio (45 units/190 beds)</t>
        </is>
      </c>
      <c r="C40" s="120" t="inlineStr">
        <is>
          <t>Supported Living</t>
        </is>
      </c>
      <c r="D40" s="108" t="inlineStr">
        <is>
          <t>HFG (via GLPG - Nick Swerner)</t>
        </is>
      </c>
      <c r="E40" s="120" t="inlineStr">
        <is>
          <t>Senior</t>
        </is>
      </c>
      <c r="F40" s="120" t="inlineStr">
        <is>
          <t>Bridge</t>
        </is>
      </c>
      <c r="G40" s="120" t="inlineStr">
        <is>
          <t>R</t>
        </is>
      </c>
      <c r="H40" s="121" t="n"/>
      <c r="I40" s="122" t="n"/>
      <c r="J40" s="121" t="n"/>
      <c r="K40" s="121" t="n">
        <v>11.34</v>
      </c>
      <c r="L40" s="123" t="n"/>
      <c r="M40" s="120" t="n"/>
      <c r="N40" s="124" t="n"/>
      <c r="O40" s="125" t="inlineStr">
        <is>
          <t>N</t>
        </is>
      </c>
      <c r="P40" s="120" t="inlineStr">
        <is>
          <t>N</t>
        </is>
      </c>
      <c r="Q40" s="108" t="inlineStr">
        <is>
          <t>Broker</t>
        </is>
      </c>
      <c r="R40" s="108" t="inlineStr">
        <is>
          <t>TS sent 10/09; awaiting countersigned term sheet and commitment fee.</t>
        </is>
      </c>
    </row>
    <row r="41" ht="13.5" customHeight="1" s="105">
      <c r="A41" s="155" t="n">
        <v>46254</v>
      </c>
      <c r="B41" s="108" t="inlineStr">
        <is>
          <t>26 Catherine Place, SW1E</t>
        </is>
      </c>
      <c r="C41" s="120" t="inlineStr">
        <is>
          <t>Resi</t>
        </is>
      </c>
      <c r="D41" s="108" t="inlineStr">
        <is>
          <t>via Opes (Masood Rashid)</t>
        </is>
      </c>
      <c r="E41" s="120" t="inlineStr">
        <is>
          <t>Senior</t>
        </is>
      </c>
      <c r="F41" s="120" t="inlineStr">
        <is>
          <t>Bridge</t>
        </is>
      </c>
      <c r="G41" s="120" t="inlineStr">
        <is>
          <t>R</t>
        </is>
      </c>
      <c r="H41" s="121" t="n"/>
      <c r="I41" s="122" t="n"/>
      <c r="J41" s="121" t="n">
        <v>6.5</v>
      </c>
      <c r="K41" s="121" t="n"/>
      <c r="L41" s="123" t="n"/>
      <c r="M41" s="120" t="n"/>
      <c r="N41" s="124" t="n"/>
      <c r="O41" s="125" t="inlineStr">
        <is>
          <t>N</t>
        </is>
      </c>
      <c r="P41" s="120" t="inlineStr">
        <is>
          <t>N</t>
        </is>
      </c>
      <c r="Q41" s="108" t="inlineStr">
        <is>
          <t>Broker</t>
        </is>
      </c>
      <c r="R41" s="108" t="inlineStr">
        <is>
          <t>Enquiry 20/08: £6.5m refinance. Opes/Masood Rashid. Terms TBC.</t>
        </is>
      </c>
    </row>
    <row r="42">
      <c r="A42" s="155" t="n">
        <v>46255</v>
      </c>
      <c r="B42" s="108" t="inlineStr">
        <is>
          <t>Cranley Hotel</t>
        </is>
      </c>
      <c r="C42" s="120" t="inlineStr">
        <is>
          <t>Hotel</t>
        </is>
      </c>
      <c r="D42" s="108" t="inlineStr">
        <is>
          <t>via BIZL (Pratik Shah)</t>
        </is>
      </c>
      <c r="E42" s="120" t="inlineStr">
        <is>
          <t>Senior</t>
        </is>
      </c>
      <c r="F42" s="120" t="inlineStr">
        <is>
          <t>Term</t>
        </is>
      </c>
      <c r="G42" s="120" t="inlineStr">
        <is>
          <t>R</t>
        </is>
      </c>
      <c r="H42" s="121" t="n"/>
      <c r="I42" s="122" t="n"/>
      <c r="J42" s="121" t="n"/>
      <c r="K42" s="121" t="n"/>
      <c r="L42" s="123" t="n"/>
      <c r="M42" s="120" t="n"/>
      <c r="N42" s="124" t="n"/>
      <c r="O42" s="125" t="inlineStr">
        <is>
          <t>N</t>
        </is>
      </c>
      <c r="P42" s="120" t="inlineStr">
        <is>
          <t>N</t>
        </is>
      </c>
      <c r="Q42" s="108" t="inlineStr">
        <is>
          <t>Broker</t>
        </is>
      </c>
      <c r="R42" s="108" t="inlineStr">
        <is>
          <t>Enquiry 21/08: hotel refurb-to-term, bespoke structure. BIZL. Figures TBC.</t>
        </is>
      </c>
    </row>
    <row r="43" ht="12.75" customHeight="1" s="105">
      <c r="A43" s="155" t="n">
        <v>46260</v>
      </c>
      <c r="B43" s="108" t="inlineStr">
        <is>
          <t>Centre Heights, Swiss Cottage, NW3</t>
        </is>
      </c>
      <c r="C43" s="120" t="inlineStr">
        <is>
          <t>Mixed-use</t>
        </is>
      </c>
      <c r="D43" s="108" t="inlineStr">
        <is>
          <t>via RIB (Adam Jaffe)</t>
        </is>
      </c>
      <c r="E43" s="120" t="inlineStr">
        <is>
          <t>Senior</t>
        </is>
      </c>
      <c r="F43" s="120" t="inlineStr">
        <is>
          <t>Bridge</t>
        </is>
      </c>
      <c r="G43" s="120" t="inlineStr">
        <is>
          <t>A</t>
        </is>
      </c>
      <c r="H43" s="121" t="n">
        <v>10.5</v>
      </c>
      <c r="I43" s="122" t="n">
        <v>2.25</v>
      </c>
      <c r="J43" s="121" t="n">
        <v>10.88</v>
      </c>
      <c r="K43" s="121" t="n">
        <v>16</v>
      </c>
      <c r="L43" s="123" t="n">
        <v>0.68</v>
      </c>
      <c r="M43" s="120" t="n">
        <v>24</v>
      </c>
      <c r="N43" s="124" t="n">
        <v>0.104</v>
      </c>
      <c r="O43" s="125" t="inlineStr">
        <is>
          <t>Y</t>
        </is>
      </c>
      <c r="P43" s="120" t="inlineStr">
        <is>
          <t>N</t>
        </is>
      </c>
      <c r="Q43" s="108" t="inlineStr">
        <is>
          <t>Broker</t>
        </is>
      </c>
      <c r="R43" s="108" t="inlineStr">
        <is>
          <t>TS issued. 09/09 broker reports the client is weighing a cheaper term loan against incoming lettings; REL view is the deal needs transitional funding.</t>
        </is>
      </c>
    </row>
    <row r="44" ht="13.8" customHeight="1" s="105">
      <c r="A44" s="155" t="n">
        <v>46262</v>
      </c>
      <c r="B44" s="108" t="inlineStr">
        <is>
          <t>Thorpe End (land / planning play)</t>
        </is>
      </c>
      <c r="C44" s="120" t="inlineStr">
        <is>
          <t>Land</t>
        </is>
      </c>
      <c r="D44" s="108" t="inlineStr">
        <is>
          <t>via LS Capital (Jason Green)</t>
        </is>
      </c>
      <c r="E44" s="120" t="inlineStr">
        <is>
          <t>Senior</t>
        </is>
      </c>
      <c r="F44" s="120" t="inlineStr">
        <is>
          <t>Bridge</t>
        </is>
      </c>
      <c r="G44" s="120" t="inlineStr">
        <is>
          <t>A</t>
        </is>
      </c>
      <c r="H44" s="121" t="n">
        <v>1.52</v>
      </c>
      <c r="I44" s="122" t="n">
        <v>0.23</v>
      </c>
      <c r="J44" s="121" t="n">
        <v>1.75</v>
      </c>
      <c r="K44" s="121" t="n">
        <v>3.5</v>
      </c>
      <c r="L44" s="123" t="n">
        <v>0.5</v>
      </c>
      <c r="M44" s="120" t="n">
        <v>12</v>
      </c>
      <c r="N44" s="124" t="n">
        <v>0.13</v>
      </c>
      <c r="O44" s="125" t="inlineStr">
        <is>
          <t>Y</t>
        </is>
      </c>
      <c r="P44" s="120" t="inlineStr">
        <is>
          <t>N</t>
        </is>
      </c>
      <c r="Q44" s="108" t="inlineStr">
        <is>
          <t>Broker</t>
        </is>
      </c>
      <c r="R44" s="108" t="inlineStr">
        <is>
          <t>TS issued. 10/09 broker asked for the full term sheet and advisors; 11/09 REL to send and confirm. Legal fees to stay proportionate to a small loan.</t>
        </is>
      </c>
    </row>
    <row r="45" ht="13.8" customHeight="1" s="105">
      <c r="A45" s="155" t="n">
        <v>46266</v>
      </c>
      <c r="B45" s="108" t="inlineStr">
        <is>
          <t>SAL Hotels Limited (operating hotel)</t>
        </is>
      </c>
      <c r="C45" s="120" t="inlineStr">
        <is>
          <t>Hotel</t>
        </is>
      </c>
      <c r="D45" s="108" t="inlineStr">
        <is>
          <t>SAL Hotels Ltd (via Mantra)</t>
        </is>
      </c>
      <c r="E45" s="120" t="inlineStr">
        <is>
          <t>Senior</t>
        </is>
      </c>
      <c r="F45" s="120" t="inlineStr">
        <is>
          <t>Bridge</t>
        </is>
      </c>
      <c r="G45" s="120" t="inlineStr">
        <is>
          <t>R</t>
        </is>
      </c>
      <c r="H45" s="121" t="n">
        <v>13.13</v>
      </c>
      <c r="I45" s="122" t="n">
        <v>2.3</v>
      </c>
      <c r="J45" s="121" t="n">
        <v>13.5</v>
      </c>
      <c r="K45" s="121" t="n">
        <v>22.5</v>
      </c>
      <c r="L45" s="123" t="n">
        <v>0.6</v>
      </c>
      <c r="M45" s="120" t="n">
        <v>18</v>
      </c>
      <c r="N45" s="124" t="n">
        <v>0.113</v>
      </c>
      <c r="O45" s="125" t="inlineStr">
        <is>
          <t>N</t>
        </is>
      </c>
      <c r="P45" s="120" t="inlineStr">
        <is>
          <t>N</t>
        </is>
      </c>
      <c r="Q45" s="108" t="inlineStr">
        <is>
          <t>Broker</t>
        </is>
      </c>
      <c r="R45" s="108" t="inlineStr">
        <is>
          <t>Updated terms 08/09: £13.5m, 12 months plus a 6-month extension option. 12/09 broker pushing on pricing; REL holding position ahead of formal IC approval.</t>
        </is>
      </c>
    </row>
    <row r="46">
      <c r="A46" s="155" t="n">
        <v>46268</v>
      </c>
      <c r="B46" s="108" t="inlineStr">
        <is>
          <t>Resi Bridge - Aquilae (London resi, MV £11.5m)</t>
        </is>
      </c>
      <c r="C46" s="120" t="inlineStr">
        <is>
          <t>Resi</t>
        </is>
      </c>
      <c r="D46" s="108" t="inlineStr">
        <is>
          <t>via Aquilae Capital (Matthew Yassin)</t>
        </is>
      </c>
      <c r="E46" s="120" t="inlineStr">
        <is>
          <t>Senior</t>
        </is>
      </c>
      <c r="F46" s="120" t="inlineStr">
        <is>
          <t>Bridge</t>
        </is>
      </c>
      <c r="G46" s="120" t="inlineStr">
        <is>
          <t>A</t>
        </is>
      </c>
      <c r="H46" s="121" t="n">
        <v>6.53</v>
      </c>
      <c r="I46" s="122" t="n">
        <v>0.87</v>
      </c>
      <c r="J46" s="121" t="n">
        <v>7.4</v>
      </c>
      <c r="K46" s="121" t="n">
        <v>11.5</v>
      </c>
      <c r="L46" s="123" t="n">
        <v>0.6435</v>
      </c>
      <c r="M46" s="120" t="n">
        <v>12</v>
      </c>
      <c r="N46" s="124" t="n">
        <v>0.117</v>
      </c>
      <c r="O46" s="125" t="inlineStr">
        <is>
          <t>Y</t>
        </is>
      </c>
      <c r="P46" s="120" t="inlineStr">
        <is>
          <t>N</t>
        </is>
      </c>
      <c r="Q46" s="108" t="inlineStr">
        <is>
          <t>Broker</t>
        </is>
      </c>
      <c r="R46" s="108" t="inlineStr">
        <is>
          <t>TS issued. 10/09 broker says the deal is moving forward. 14/09 querying whether REL's 1% fee is inclusive of Aquilae's 1% — REL confirmed it is not.</t>
        </is>
      </c>
    </row>
    <row r="47">
      <c r="A47" s="155" t="n">
        <v>46268</v>
      </c>
      <c r="B47" s="108" t="inlineStr">
        <is>
          <t>DSH Southampton &amp; Whitsand Bay Fort Holiday Village</t>
        </is>
      </c>
      <c r="C47" s="120" t="inlineStr">
        <is>
          <t>Leisure</t>
        </is>
      </c>
      <c r="D47" s="108" t="inlineStr">
        <is>
          <t>via Gemdar (Ramiah)</t>
        </is>
      </c>
      <c r="E47" s="120" t="inlineStr">
        <is>
          <t>Mezz / 2nd charge</t>
        </is>
      </c>
      <c r="F47" s="120" t="inlineStr">
        <is>
          <t>Bridge</t>
        </is>
      </c>
      <c r="G47" s="120" t="inlineStr">
        <is>
          <t>R</t>
        </is>
      </c>
      <c r="H47" s="121" t="n"/>
      <c r="I47" s="122" t="n"/>
      <c r="J47" s="121" t="n">
        <v>5</v>
      </c>
      <c r="K47" s="121" t="n"/>
      <c r="L47" s="123" t="n"/>
      <c r="M47" s="120" t="n"/>
      <c r="N47" s="124" t="n"/>
      <c r="O47" s="125" t="inlineStr">
        <is>
          <t>N</t>
        </is>
      </c>
      <c r="P47" s="120" t="inlineStr">
        <is>
          <t>N</t>
        </is>
      </c>
      <c r="Q47" s="108" t="inlineStr">
        <is>
          <t>Broker</t>
        </is>
      </c>
      <c r="R47" s="108" t="inlineStr">
        <is>
          <t>Enquiry 03/09: client wants £5m 2nd charge; REL prefers wholeloan. Gemdar. Mismatch.</t>
        </is>
      </c>
    </row>
    <row r="48">
      <c r="A48" s="155" t="n">
        <v>46269</v>
      </c>
      <c r="B48" s="108" t="inlineStr">
        <is>
          <t>Project Hannah - land bridge, London</t>
        </is>
      </c>
      <c r="C48" s="120" t="inlineStr">
        <is>
          <t>Resi</t>
        </is>
      </c>
      <c r="D48" s="108" t="inlineStr">
        <is>
          <t>via BLCK Capital (Delvin Kennedy)</t>
        </is>
      </c>
      <c r="E48" s="120" t="inlineStr">
        <is>
          <t>Senior</t>
        </is>
      </c>
      <c r="F48" s="120" t="inlineStr">
        <is>
          <t>Bridge</t>
        </is>
      </c>
      <c r="G48" s="120" t="inlineStr">
        <is>
          <t>A</t>
        </is>
      </c>
      <c r="H48" s="121" t="n"/>
      <c r="I48" s="122" t="n"/>
      <c r="J48" s="121" t="n"/>
      <c r="K48" s="121" t="n"/>
      <c r="L48" s="123" t="n"/>
      <c r="M48" s="120" t="n"/>
      <c r="N48" s="124" t="n"/>
      <c r="O48" s="125" t="inlineStr">
        <is>
          <t>N</t>
        </is>
      </c>
      <c r="P48" s="120" t="inlineStr">
        <is>
          <t>N</t>
        </is>
      </c>
      <c r="Q48" s="108" t="inlineStr">
        <is>
          <t>Broker</t>
        </is>
      </c>
      <c r="R48" s="108" t="inlineStr">
        <is>
          <t>NDA 07/09. 08/09 BLCK: sponsor open to taking the land bridge first and raising development finance afterwards, depending on terms.</t>
        </is>
      </c>
    </row>
    <row r="49">
      <c r="A49" s="155" t="n">
        <v>46272</v>
      </c>
      <c r="B49" s="108" t="inlineStr">
        <is>
          <t>Brighton Pier</t>
        </is>
      </c>
      <c r="C49" s="120" t="inlineStr">
        <is>
          <t>Leisure</t>
        </is>
      </c>
      <c r="D49" s="108" t="inlineStr">
        <is>
          <t>via Yellowstone Finance (Dave Dixon)</t>
        </is>
      </c>
      <c r="E49" s="120" t="inlineStr">
        <is>
          <t>Senior</t>
        </is>
      </c>
      <c r="F49" s="120" t="inlineStr">
        <is>
          <t>Bridge</t>
        </is>
      </c>
      <c r="G49" s="120" t="inlineStr">
        <is>
          <t>A</t>
        </is>
      </c>
      <c r="H49" s="121" t="n"/>
      <c r="I49" s="122" t="n"/>
      <c r="J49" s="121" t="n"/>
      <c r="K49" s="121" t="n">
        <v>7</v>
      </c>
      <c r="L49" s="123" t="n"/>
      <c r="M49" s="120" t="n"/>
      <c r="N49" s="124" t="n"/>
      <c r="O49" s="125" t="inlineStr">
        <is>
          <t>N</t>
        </is>
      </c>
      <c r="P49" s="120" t="inlineStr">
        <is>
          <t>N</t>
        </is>
      </c>
      <c r="Q49" s="108" t="inlineStr">
        <is>
          <t>Broker</t>
        </is>
      </c>
      <c r="R49" s="108" t="inlineStr">
        <is>
          <t>Enquiry 07/09: £7m purchase. Yellowstone/Dave Dixon. Awaiting details. (Poss. relates to Brighton Palace Pier row - confirm.)</t>
        </is>
      </c>
    </row>
    <row r="50">
      <c r="A50" s="155" t="n">
        <v>46274</v>
      </c>
      <c r="B50" s="108" t="inlineStr">
        <is>
          <t>Inova Park, Watermead Business Park, Leicester</t>
        </is>
      </c>
      <c r="C50" s="120" t="inlineStr">
        <is>
          <t>Industrial / Logistics</t>
        </is>
      </c>
      <c r="D50" s="108" t="inlineStr">
        <is>
          <t>Boundary Real Estate Partners (via Moorhall Capital)</t>
        </is>
      </c>
      <c r="E50" s="120" t="inlineStr">
        <is>
          <t>Senior</t>
        </is>
      </c>
      <c r="F50" s="120" t="inlineStr">
        <is>
          <t>Bridge</t>
        </is>
      </c>
      <c r="G50" s="120" t="inlineStr">
        <is>
          <t>R</t>
        </is>
      </c>
      <c r="H50" s="121" t="n"/>
      <c r="I50" s="122" t="n"/>
      <c r="J50" s="121" t="n"/>
      <c r="K50" s="121" t="n">
        <v>19.4</v>
      </c>
      <c r="L50" s="123" t="n"/>
      <c r="M50" s="120" t="n"/>
      <c r="N50" s="124" t="n"/>
      <c r="O50" s="125" t="inlineStr">
        <is>
          <t>N</t>
        </is>
      </c>
      <c r="P50" s="120" t="inlineStr">
        <is>
          <t>N</t>
        </is>
      </c>
      <c r="Q50" s="108" t="inlineStr">
        <is>
          <t>Broker</t>
        </is>
      </c>
      <c r="R50" s="108" t="inlineStr">
        <is>
          <t>Enquiry 09/09: bridge refi of a consented 61.48-acre industrial site. Gross sought £8-12m (c.40-60% LTV vs £19.4m Colliers MV Feb-26), 12-18m, interest rolled. Repays c.£6m existing. GDV c.£125.3m. Target close Oct-26. Loan amount not yet fixed. Sumeer 14/09: further equity needed if a sale/forward-fund does not complete.</t>
        </is>
      </c>
    </row>
    <row r="51">
      <c r="A51" s="155" t="n">
        <v>46275</v>
      </c>
      <c r="B51" s="108" t="inlineStr">
        <is>
          <t>32 Featherstone Road (warehouses + pub)</t>
        </is>
      </c>
      <c r="C51" s="120" t="inlineStr">
        <is>
          <t>Industrial / Leisure</t>
        </is>
      </c>
      <c r="D51" s="108" t="inlineStr">
        <is>
          <t>Neshal &amp; Jaymene Madlani</t>
        </is>
      </c>
      <c r="E51" s="120" t="inlineStr">
        <is>
          <t>Senior</t>
        </is>
      </c>
      <c r="F51" s="120" t="inlineStr">
        <is>
          <t>Bridge</t>
        </is>
      </c>
      <c r="G51" s="120" t="inlineStr">
        <is>
          <t>R</t>
        </is>
      </c>
      <c r="H51" s="121" t="n"/>
      <c r="I51" s="122" t="n"/>
      <c r="J51" s="121" t="n">
        <v>2.25</v>
      </c>
      <c r="K51" s="121" t="n"/>
      <c r="L51" s="123" t="n">
        <v>0.65</v>
      </c>
      <c r="M51" s="120" t="n">
        <v>24</v>
      </c>
      <c r="N51" s="124" t="n">
        <v>0.115</v>
      </c>
      <c r="O51" s="125" t="inlineStr">
        <is>
          <t>N</t>
        </is>
      </c>
      <c r="P51" s="120" t="inlineStr">
        <is>
          <t>N</t>
        </is>
      </c>
      <c r="Q51" s="108" t="inlineStr">
        <is>
          <t>Broker</t>
        </is>
      </c>
      <c r="R51" s="108" t="inlineStr">
        <is>
          <t>Indicative terms 10/09: £2.25m at 65% LTV, 1% arrangement, 11.5% monthly in arrears, 24m with 9m minimum makewhole. Collateral value TBC.</t>
        </is>
      </c>
    </row>
    <row r="52">
      <c r="A52" s="155" t="n">
        <v>46275</v>
      </c>
      <c r="B52" s="108" t="inlineStr">
        <is>
          <t>Amusement Equipment (commercial bridge)</t>
        </is>
      </c>
      <c r="C52" s="120" t="inlineStr">
        <is>
          <t>TBC</t>
        </is>
      </c>
      <c r="D52" s="108" t="inlineStr">
        <is>
          <t>TBC (via Mantra Commercial)</t>
        </is>
      </c>
      <c r="E52" s="120" t="inlineStr">
        <is>
          <t>Senior</t>
        </is>
      </c>
      <c r="F52" s="120" t="inlineStr">
        <is>
          <t>Bridge</t>
        </is>
      </c>
      <c r="G52" s="120" t="inlineStr">
        <is>
          <t>R</t>
        </is>
      </c>
      <c r="H52" s="121" t="n">
        <v>6.13</v>
      </c>
      <c r="I52" s="122" t="n"/>
      <c r="J52" s="121" t="n"/>
      <c r="K52" s="121" t="n"/>
      <c r="L52" s="123" t="n"/>
      <c r="M52" s="120" t="n"/>
      <c r="N52" s="124" t="n"/>
      <c r="O52" s="125" t="inlineStr">
        <is>
          <t>N</t>
        </is>
      </c>
      <c r="P52" s="120" t="inlineStr">
        <is>
          <t>N</t>
        </is>
      </c>
      <c r="Q52" s="108" t="inlineStr">
        <is>
          <t>Broker</t>
        </is>
      </c>
      <c r="R52" s="108" t="inlineStr">
        <is>
          <t>Enquiry 10/09 via Mantra: commercial bridge request, £6.13m net. Property and collateral TBC — request pack attached to the referring email.</t>
        </is>
      </c>
    </row>
    <row r="53">
      <c r="A53" s="155" t="n">
        <v>46274</v>
      </c>
      <c r="B53" s="108" t="inlineStr">
        <is>
          <t>c.£7m enquiry - Elizabeth Donald</t>
        </is>
      </c>
      <c r="C53" s="120" t="inlineStr">
        <is>
          <t>TBC</t>
        </is>
      </c>
      <c r="D53" s="108" t="inlineStr">
        <is>
          <t>Elizabeth Donald (via BPS London)</t>
        </is>
      </c>
      <c r="E53" s="120" t="inlineStr">
        <is>
          <t>Senior</t>
        </is>
      </c>
      <c r="F53" s="120" t="inlineStr">
        <is>
          <t>Bridge</t>
        </is>
      </c>
      <c r="G53" s="120" t="inlineStr">
        <is>
          <t>R</t>
        </is>
      </c>
      <c r="H53" s="121" t="n"/>
      <c r="I53" s="122" t="n"/>
      <c r="J53" s="121" t="n"/>
      <c r="K53" s="121" t="n"/>
      <c r="L53" s="123" t="n"/>
      <c r="M53" s="120" t="n"/>
      <c r="N53" s="124" t="n"/>
      <c r="O53" s="125" t="inlineStr">
        <is>
          <t>N</t>
        </is>
      </c>
      <c r="P53" s="120" t="inlineStr">
        <is>
          <t>N</t>
        </is>
      </c>
      <c r="Q53" s="108" t="inlineStr">
        <is>
          <t>Broker</t>
        </is>
      </c>
      <c r="R53" s="108" t="inlineStr">
        <is>
          <t>Enquiry 09/09 via Mahir Vachani (BPS London): c.£7m loan. Terms and security TBC.</t>
        </is>
      </c>
    </row>
    <row r="54">
      <c r="A54" s="155" t="n"/>
      <c r="B54" s="108" t="n"/>
      <c r="C54" s="120" t="n"/>
      <c r="D54" s="108" t="n"/>
      <c r="E54" s="120" t="n"/>
      <c r="F54" s="120" t="n"/>
      <c r="G54" s="120" t="n"/>
      <c r="H54" s="121" t="n"/>
      <c r="I54" s="122" t="n"/>
      <c r="J54" s="121" t="n"/>
      <c r="K54" s="121" t="n"/>
      <c r="L54" s="123" t="n"/>
      <c r="M54" s="120" t="n"/>
      <c r="N54" s="124" t="n"/>
      <c r="O54" s="125" t="n"/>
      <c r="P54" s="120" t="n"/>
      <c r="Q54" s="108" t="n"/>
      <c r="R54" s="108" t="n"/>
    </row>
    <row r="55">
      <c r="A55" s="127" t="inlineStr">
        <is>
          <t>Total</t>
        </is>
      </c>
      <c r="B55" s="127" t="n"/>
      <c r="C55" s="159" t="n"/>
      <c r="D55" s="160" t="n"/>
      <c r="E55" s="159" t="n"/>
      <c r="F55" s="108" t="n"/>
      <c r="G55" s="159" t="n"/>
      <c r="H55" s="130">
        <f>SUM(H20:H53)</f>
        <v/>
      </c>
      <c r="I55" s="130">
        <f>SUM(I20:I53)</f>
        <v/>
      </c>
      <c r="J55" s="130">
        <f>SUM(J20:J53)</f>
        <v/>
      </c>
      <c r="K55" s="130">
        <f>SUM(K20:K53)</f>
        <v/>
      </c>
      <c r="L55" s="131">
        <f>AVERAGE(L20:L53)</f>
        <v/>
      </c>
      <c r="M55" s="159" t="n"/>
      <c r="N55" s="161" t="n"/>
      <c r="O55" s="159" t="n"/>
      <c r="P55" s="159" t="n"/>
      <c r="Q55" s="160" t="n"/>
      <c r="R55" s="160" t="n"/>
    </row>
    <row r="56"/>
    <row r="57"/>
    <row r="58"/>
    <row r="59">
      <c r="U59" s="98" t="n">
        <v>0.1</v>
      </c>
      <c r="V59" s="162" t="n">
        <v>0.14</v>
      </c>
      <c r="W59" s="98">
        <f>U36*V36</f>
        <v/>
      </c>
    </row>
    <row r="60">
      <c r="B60" s="163" t="n"/>
      <c r="C60" s="164" t="n"/>
      <c r="D60" s="164" t="n"/>
      <c r="E60" s="165" t="n"/>
      <c r="F60" s="164" t="n"/>
      <c r="G60" s="166" t="n"/>
      <c r="U60" s="98" t="n">
        <v>0.9</v>
      </c>
      <c r="V60" s="162" t="n">
        <v>0.02</v>
      </c>
      <c r="W60" s="98">
        <f>U37*V37</f>
        <v/>
      </c>
    </row>
    <row r="61">
      <c r="B61" s="163" t="n"/>
      <c r="C61" s="164" t="n"/>
      <c r="D61" s="164" t="n"/>
      <c r="E61" s="165" t="n"/>
      <c r="F61" s="164" t="n"/>
      <c r="G61" s="166" t="n"/>
      <c r="W61" s="98">
        <f>W36+W37</f>
        <v/>
      </c>
    </row>
  </sheetData>
  <mergeCells count="4">
    <mergeCell ref="B18:C18"/>
    <mergeCell ref="B6:C6"/>
    <mergeCell ref="B4:R4"/>
    <mergeCell ref="C1:R3"/>
  </mergeCells>
  <printOptions horizontalCentered="0" verticalCentered="0" headings="0" gridLines="0" gridLinesSet="1"/>
  <pageMargins left="0.25" right="0.25" top="0.75" bottom="0.75" header="0.511811023622047" footer="0.3"/>
  <pageSetup orientation="landscape" paperSize="8" scale="100" fitToHeight="0" fitToWidth="1" pageOrder="downThenOver" blackAndWhite="0" draft="0" horizontalDpi="300" verticalDpi="300" copies="1"/>
  <headerFooter differentOddEven="0" differentFirst="0">
    <oddHeader/>
    <oddFooter>&amp;C&amp;Z&amp;F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3:V96"/>
  <sheetViews>
    <sheetView showFormulas="0" showGridLines="1" showRowColHeaders="1" showZeros="1" rightToLeft="0" tabSelected="0" showOutlineSymbols="1" defaultGridColor="1" view="normal" topLeftCell="A71" colorId="64" zoomScale="81" zoomScaleNormal="81" zoomScalePageLayoutView="100" workbookViewId="0">
      <selection pane="topLeft" activeCell="F96" activeCellId="0" sqref="F96"/>
    </sheetView>
  </sheetViews>
  <sheetFormatPr baseColWidth="8" defaultColWidth="8.70703125" defaultRowHeight="12.75" zeroHeight="0" outlineLevelRow="0"/>
  <cols>
    <col width="9.57" customWidth="1" style="98" min="1" max="1"/>
    <col width="19.57" customWidth="1" style="167" min="2" max="4"/>
    <col width="9.57" customWidth="1" style="167" min="5" max="17"/>
    <col width="44.43" customWidth="1" style="167" min="18" max="18"/>
    <col width="8.710000000000001" customWidth="1" style="167" min="19" max="16384"/>
  </cols>
  <sheetData>
    <row r="3" ht="28.5" customFormat="1" customHeight="1" s="98">
      <c r="B3" s="168" t="inlineStr">
        <is>
          <t>Dead Deals</t>
        </is>
      </c>
      <c r="C3" s="110" t="n"/>
      <c r="D3" s="144" t="n"/>
      <c r="E3" s="147" t="n"/>
      <c r="F3" s="169" t="n"/>
      <c r="G3" s="169" t="n"/>
      <c r="H3" s="170" t="n"/>
      <c r="I3" s="171" t="n"/>
      <c r="J3" s="170" t="n"/>
      <c r="K3" s="170" t="n"/>
      <c r="L3" s="172" t="n"/>
      <c r="M3" s="169" t="n"/>
      <c r="N3" s="173" t="n"/>
      <c r="O3" s="147" t="n"/>
      <c r="P3" s="147" t="n"/>
      <c r="Q3" s="144" t="n"/>
      <c r="R3" s="144" t="n"/>
    </row>
    <row r="4" ht="38.25" customFormat="1" customHeight="1" s="98">
      <c r="A4" s="111" t="inlineStr">
        <is>
          <t>Date Received</t>
        </is>
      </c>
      <c r="B4" s="111" t="inlineStr">
        <is>
          <t>Property Address</t>
        </is>
      </c>
      <c r="C4" s="112" t="inlineStr">
        <is>
          <t>Asset Class</t>
        </is>
      </c>
      <c r="D4" s="113" t="inlineStr">
        <is>
          <t>Borrower/JV Partner</t>
        </is>
      </c>
      <c r="E4" s="114" t="inlineStr">
        <is>
          <t>Senior/
Mezz/ 
Pref</t>
        </is>
      </c>
      <c r="F4" s="114" t="inlineStr">
        <is>
          <t>Deal Type</t>
        </is>
      </c>
      <c r="G4" s="114" t="n"/>
      <c r="H4" s="115" t="inlineStr">
        <is>
          <t>Net Loan (£mn)</t>
        </is>
      </c>
      <c r="I4" s="116" t="inlineStr">
        <is>
          <t>REL Return 
(£mn)</t>
        </is>
      </c>
      <c r="J4" s="115" t="inlineStr">
        <is>
          <t>Gross Loan (£mn)</t>
        </is>
      </c>
      <c r="K4" s="115" t="inlineStr">
        <is>
          <t>Collateral Value (£mn)</t>
        </is>
      </c>
      <c r="L4" s="117" t="inlineStr">
        <is>
          <t>LTV</t>
        </is>
      </c>
      <c r="M4" s="114" t="inlineStr">
        <is>
          <t>Length (Months)</t>
        </is>
      </c>
      <c r="N4" s="118" t="inlineStr">
        <is>
          <t>IRR 
Return</t>
        </is>
      </c>
      <c r="O4" s="114" t="inlineStr">
        <is>
          <t>Term Sheet Issued</t>
        </is>
      </c>
      <c r="P4" s="114" t="inlineStr">
        <is>
          <t>Commitment Fee Received</t>
        </is>
      </c>
      <c r="Q4" s="113" t="inlineStr">
        <is>
          <t>Broker / Direct</t>
        </is>
      </c>
      <c r="R4" s="113" t="inlineStr">
        <is>
          <t>Comments</t>
        </is>
      </c>
    </row>
    <row r="5" ht="12.75" customFormat="1" customHeight="1" s="98">
      <c r="B5" s="108" t="inlineStr">
        <is>
          <t>Hams Hall</t>
        </is>
      </c>
      <c r="C5" s="129" t="inlineStr">
        <is>
          <t>Industrial</t>
        </is>
      </c>
      <c r="D5" s="108" t="inlineStr">
        <is>
          <t xml:space="preserve">Rocket </t>
        </is>
      </c>
      <c r="E5" s="120" t="inlineStr">
        <is>
          <t>Senior</t>
        </is>
      </c>
      <c r="F5" s="120" t="inlineStr">
        <is>
          <t>Bridge</t>
        </is>
      </c>
      <c r="G5" s="120" t="inlineStr">
        <is>
          <t>R</t>
        </is>
      </c>
      <c r="H5" s="121" t="n">
        <v>3.9</v>
      </c>
      <c r="I5" s="122" t="n">
        <v>0.485</v>
      </c>
      <c r="J5" s="121" t="n">
        <v>3.9</v>
      </c>
      <c r="K5" s="121" t="n">
        <v>6</v>
      </c>
      <c r="L5" s="123">
        <f>J5/K5</f>
        <v/>
      </c>
      <c r="M5" s="120" t="n">
        <v>9</v>
      </c>
      <c r="N5" s="124" t="n">
        <v>0.103</v>
      </c>
      <c r="O5" s="120" t="inlineStr">
        <is>
          <t>No</t>
        </is>
      </c>
      <c r="P5" s="120" t="inlineStr">
        <is>
          <t>No</t>
        </is>
      </c>
      <c r="Q5" s="108" t="inlineStr">
        <is>
          <t>Direct</t>
        </is>
      </c>
      <c r="R5" s="98" t="inlineStr">
        <is>
          <t>Went With Topland</t>
        </is>
      </c>
    </row>
    <row r="6" ht="12.75" customFormat="1" customHeight="1" s="98">
      <c r="A6" s="108" t="n"/>
      <c r="B6" s="108" t="inlineStr">
        <is>
          <t>Burlington Gate</t>
        </is>
      </c>
      <c r="C6" s="129" t="inlineStr">
        <is>
          <t>Resi</t>
        </is>
      </c>
      <c r="D6" s="108" t="inlineStr">
        <is>
          <t>HNW</t>
        </is>
      </c>
      <c r="E6" s="120" t="inlineStr">
        <is>
          <t>Senior</t>
        </is>
      </c>
      <c r="F6" s="120" t="inlineStr">
        <is>
          <t>Bridge</t>
        </is>
      </c>
      <c r="G6" s="120" t="inlineStr">
        <is>
          <t>R</t>
        </is>
      </c>
      <c r="H6" s="121" t="n">
        <v>4.3</v>
      </c>
      <c r="I6" s="122" t="n">
        <v>0.5</v>
      </c>
      <c r="J6" s="121" t="n">
        <v>4.8</v>
      </c>
      <c r="K6" s="121" t="n">
        <v>8</v>
      </c>
      <c r="L6" s="123">
        <f>J6/K6</f>
        <v/>
      </c>
      <c r="M6" s="120" t="n">
        <v>6</v>
      </c>
      <c r="N6" s="124" t="n">
        <v>0.12</v>
      </c>
      <c r="O6" s="120" t="inlineStr">
        <is>
          <t>No</t>
        </is>
      </c>
      <c r="P6" s="120" t="inlineStr">
        <is>
          <t>No</t>
        </is>
      </c>
      <c r="Q6" s="108" t="inlineStr">
        <is>
          <t>Direct</t>
        </is>
      </c>
      <c r="R6" s="174" t="inlineStr">
        <is>
          <t>Went With Prospect</t>
        </is>
      </c>
    </row>
    <row r="7" ht="12.75" customFormat="1" customHeight="1" s="98">
      <c r="B7" s="108" t="inlineStr">
        <is>
          <t xml:space="preserve">4C Aldgate </t>
        </is>
      </c>
      <c r="C7" s="129" t="inlineStr">
        <is>
          <t>Office</t>
        </is>
      </c>
      <c r="D7" s="108" t="inlineStr">
        <is>
          <t>4C/Rocket JV</t>
        </is>
      </c>
      <c r="E7" s="120" t="inlineStr">
        <is>
          <t>Senior</t>
        </is>
      </c>
      <c r="F7" s="120" t="inlineStr">
        <is>
          <t>Bridge</t>
        </is>
      </c>
      <c r="G7" s="120" t="inlineStr">
        <is>
          <t>R</t>
        </is>
      </c>
      <c r="H7" s="121" t="n">
        <v>20</v>
      </c>
      <c r="I7" s="122" t="n">
        <v>3</v>
      </c>
      <c r="J7" s="121" t="n">
        <v>20</v>
      </c>
      <c r="K7" s="121" t="n">
        <v>35</v>
      </c>
      <c r="L7" s="123">
        <f>J7/K7</f>
        <v/>
      </c>
      <c r="M7" s="120" t="n">
        <v>18</v>
      </c>
      <c r="N7" s="124" t="n">
        <v>0.13</v>
      </c>
      <c r="O7" s="125" t="inlineStr">
        <is>
          <t>No</t>
        </is>
      </c>
      <c r="P7" s="120" t="inlineStr">
        <is>
          <t>No</t>
        </is>
      </c>
      <c r="Q7" s="108" t="inlineStr">
        <is>
          <t>Direct</t>
        </is>
      </c>
      <c r="R7" s="174" t="inlineStr">
        <is>
          <t>Did not progress</t>
        </is>
      </c>
    </row>
    <row r="8" ht="12.75" customFormat="1" customHeight="1" s="98">
      <c r="A8" s="108" t="n"/>
      <c r="B8" s="108" t="inlineStr">
        <is>
          <t>Hub Cap Barbican</t>
        </is>
      </c>
      <c r="C8" s="129" t="inlineStr">
        <is>
          <t>Office</t>
        </is>
      </c>
      <c r="D8" s="108" t="inlineStr">
        <is>
          <t>Hub Cap</t>
        </is>
      </c>
      <c r="E8" s="120" t="inlineStr">
        <is>
          <t>Senior</t>
        </is>
      </c>
      <c r="F8" s="120" t="inlineStr">
        <is>
          <t>Bridge</t>
        </is>
      </c>
      <c r="G8" s="120" t="inlineStr">
        <is>
          <t>A</t>
        </is>
      </c>
      <c r="H8" s="121" t="n">
        <v>7</v>
      </c>
      <c r="I8" s="122" t="n">
        <v>1</v>
      </c>
      <c r="J8" s="121" t="n">
        <v>8</v>
      </c>
      <c r="K8" s="121" t="n">
        <v>28</v>
      </c>
      <c r="L8" s="123">
        <f>J8/K8</f>
        <v/>
      </c>
      <c r="M8" s="120" t="n">
        <v>18</v>
      </c>
      <c r="N8" s="124" t="n">
        <v>0.1</v>
      </c>
      <c r="O8" s="120" t="inlineStr">
        <is>
          <t>No</t>
        </is>
      </c>
      <c r="P8" s="120" t="inlineStr">
        <is>
          <t>No</t>
        </is>
      </c>
      <c r="Q8" s="108" t="inlineStr">
        <is>
          <t>Direct</t>
        </is>
      </c>
      <c r="R8" s="174" t="inlineStr">
        <is>
          <t>Valaution to low</t>
        </is>
      </c>
    </row>
    <row r="9" ht="12.75" customFormat="1" customHeight="1" s="98">
      <c r="A9" s="127" t="n"/>
      <c r="B9" s="108" t="inlineStr">
        <is>
          <t>Queensbridge Quarter Stratford</t>
        </is>
      </c>
      <c r="C9" s="108" t="inlineStr">
        <is>
          <t>Retail</t>
        </is>
      </c>
      <c r="D9" s="108" t="inlineStr">
        <is>
          <t>Able Properties</t>
        </is>
      </c>
      <c r="E9" s="120" t="inlineStr">
        <is>
          <t>Senior</t>
        </is>
      </c>
      <c r="F9" s="120" t="inlineStr">
        <is>
          <t>Bridge</t>
        </is>
      </c>
      <c r="G9" s="120" t="inlineStr">
        <is>
          <t>A</t>
        </is>
      </c>
      <c r="H9" s="121" t="n">
        <v>11</v>
      </c>
      <c r="I9" s="122" t="n">
        <v>2.2</v>
      </c>
      <c r="J9" s="121" t="n">
        <v>13.2</v>
      </c>
      <c r="K9" s="121" t="n">
        <v>20</v>
      </c>
      <c r="L9" s="123">
        <f>J9/K9</f>
        <v/>
      </c>
      <c r="M9" s="120" t="n">
        <v>18</v>
      </c>
      <c r="N9" s="124" t="n">
        <v>0.13</v>
      </c>
      <c r="O9" s="125" t="inlineStr">
        <is>
          <t>No</t>
        </is>
      </c>
      <c r="P9" s="120" t="inlineStr">
        <is>
          <t>No</t>
        </is>
      </c>
      <c r="Q9" s="108" t="inlineStr">
        <is>
          <t>Broker</t>
        </is>
      </c>
      <c r="R9" s="108" t="inlineStr">
        <is>
          <t>Did not win bid</t>
        </is>
      </c>
    </row>
    <row r="10" ht="12.75" customFormat="1" customHeight="1" s="98">
      <c r="A10" s="135" t="n"/>
      <c r="B10" s="108" t="inlineStr">
        <is>
          <t>Hammersmith Grove</t>
        </is>
      </c>
      <c r="C10" s="108" t="inlineStr">
        <is>
          <t>Office</t>
        </is>
      </c>
      <c r="D10" s="108" t="inlineStr">
        <is>
          <t>Candour Properties</t>
        </is>
      </c>
      <c r="E10" s="120" t="inlineStr">
        <is>
          <t>Senior</t>
        </is>
      </c>
      <c r="F10" s="120" t="inlineStr">
        <is>
          <t>Bridge</t>
        </is>
      </c>
      <c r="G10" s="120" t="inlineStr">
        <is>
          <t>A</t>
        </is>
      </c>
      <c r="H10" s="121" t="n">
        <v>19</v>
      </c>
      <c r="I10" s="122" t="n">
        <v>4.14</v>
      </c>
      <c r="J10" s="121" t="n">
        <v>21</v>
      </c>
      <c r="K10" s="121" t="n">
        <v>30</v>
      </c>
      <c r="L10" s="123">
        <f>J10/K10</f>
        <v/>
      </c>
      <c r="M10" s="120" t="n">
        <v>18</v>
      </c>
      <c r="N10" s="124" t="n">
        <v>0.1445</v>
      </c>
      <c r="O10" s="125" t="inlineStr">
        <is>
          <t>No</t>
        </is>
      </c>
      <c r="P10" s="120" t="inlineStr">
        <is>
          <t>No</t>
        </is>
      </c>
      <c r="Q10" s="108" t="inlineStr">
        <is>
          <t>Direct</t>
        </is>
      </c>
      <c r="R10" s="108" t="inlineStr">
        <is>
          <t xml:space="preserve">Leverage to high </t>
        </is>
      </c>
    </row>
    <row r="11" ht="12.75" customFormat="1" customHeight="1" s="98">
      <c r="A11" s="108" t="n"/>
      <c r="B11" s="108" t="inlineStr">
        <is>
          <t>Reading Resi</t>
        </is>
      </c>
      <c r="C11" s="108" t="inlineStr">
        <is>
          <t>Resi</t>
        </is>
      </c>
      <c r="D11" s="108" t="inlineStr">
        <is>
          <t>Reeve</t>
        </is>
      </c>
      <c r="E11" s="120" t="inlineStr">
        <is>
          <t>Senior</t>
        </is>
      </c>
      <c r="F11" s="120" t="inlineStr">
        <is>
          <t>Bridge</t>
        </is>
      </c>
      <c r="G11" s="120" t="inlineStr">
        <is>
          <t>R</t>
        </is>
      </c>
      <c r="H11" s="121" t="n">
        <v>3.7</v>
      </c>
      <c r="I11" s="122" t="n">
        <v>0.45</v>
      </c>
      <c r="J11" s="121" t="n">
        <v>3.7</v>
      </c>
      <c r="K11" s="121" t="n">
        <v>5.55</v>
      </c>
      <c r="L11" s="123">
        <f>J11/K11</f>
        <v/>
      </c>
      <c r="M11" s="120" t="n">
        <v>12</v>
      </c>
      <c r="N11" s="124" t="n">
        <v>0.13</v>
      </c>
      <c r="O11" s="125" t="inlineStr">
        <is>
          <t>No</t>
        </is>
      </c>
      <c r="P11" s="120" t="inlineStr">
        <is>
          <t>No</t>
        </is>
      </c>
      <c r="Q11" s="108" t="inlineStr">
        <is>
          <t>Broker</t>
        </is>
      </c>
      <c r="R11" s="98" t="inlineStr">
        <is>
          <t>Poor Borrower and high leverage</t>
        </is>
      </c>
    </row>
    <row r="12" ht="12.75" customFormat="1" customHeight="1" s="98">
      <c r="A12" s="135" t="n"/>
      <c r="B12" s="108" t="inlineStr">
        <is>
          <t>Fountain House, Mayfair</t>
        </is>
      </c>
      <c r="C12" s="157" t="inlineStr">
        <is>
          <t>Resi</t>
        </is>
      </c>
      <c r="D12" s="108" t="inlineStr">
        <is>
          <t>Seamic</t>
        </is>
      </c>
      <c r="E12" s="120" t="inlineStr">
        <is>
          <t>Senior</t>
        </is>
      </c>
      <c r="F12" s="120" t="inlineStr">
        <is>
          <t>Bridge</t>
        </is>
      </c>
      <c r="G12" s="120" t="inlineStr">
        <is>
          <t>A</t>
        </is>
      </c>
      <c r="H12" s="121" t="n">
        <v>9.1</v>
      </c>
      <c r="I12" s="122" t="n">
        <v>0.92</v>
      </c>
      <c r="J12" s="121" t="n">
        <v>9.279999999999999</v>
      </c>
      <c r="K12" s="121" t="n">
        <v>18.25</v>
      </c>
      <c r="L12" s="123">
        <f>J12/K12</f>
        <v/>
      </c>
      <c r="M12" s="120" t="n">
        <v>9</v>
      </c>
      <c r="N12" s="124" t="n">
        <v>0.1435</v>
      </c>
      <c r="O12" s="125" t="inlineStr">
        <is>
          <t>Yes</t>
        </is>
      </c>
      <c r="P12" s="120" t="inlineStr">
        <is>
          <t>No</t>
        </is>
      </c>
      <c r="Q12" s="108" t="inlineStr">
        <is>
          <t>Broker</t>
        </is>
      </c>
      <c r="R12" s="108" t="inlineStr">
        <is>
          <t>Borrower suggesting pricing too high</t>
        </is>
      </c>
    </row>
    <row r="13" ht="12.75" customFormat="1" customHeight="1" s="98">
      <c r="A13" s="135" t="n"/>
      <c r="B13" s="108" t="inlineStr">
        <is>
          <t>St Pancreas Chambers, Kings Cross</t>
        </is>
      </c>
      <c r="C13" s="157" t="inlineStr">
        <is>
          <t>Resi</t>
        </is>
      </c>
      <c r="D13" s="108" t="inlineStr">
        <is>
          <t>bottaccio</t>
        </is>
      </c>
      <c r="E13" s="120" t="inlineStr">
        <is>
          <t>Senior</t>
        </is>
      </c>
      <c r="F13" s="120" t="inlineStr">
        <is>
          <t>Bridge</t>
        </is>
      </c>
      <c r="G13" s="120" t="inlineStr">
        <is>
          <t>A</t>
        </is>
      </c>
      <c r="H13" s="121" t="n">
        <v>7</v>
      </c>
      <c r="I13" s="122" t="n">
        <v>1.01</v>
      </c>
      <c r="J13" s="121" t="n">
        <v>7.18</v>
      </c>
      <c r="K13" s="121" t="n">
        <v>9.949999999999999</v>
      </c>
      <c r="L13" s="123">
        <f>J13/K13</f>
        <v/>
      </c>
      <c r="M13" s="120" t="n">
        <v>12</v>
      </c>
      <c r="N13" s="124" t="n">
        <v>0.153</v>
      </c>
      <c r="O13" s="125" t="inlineStr">
        <is>
          <t>Yes</t>
        </is>
      </c>
      <c r="P13" s="120" t="inlineStr">
        <is>
          <t>No</t>
        </is>
      </c>
      <c r="Q13" s="108" t="inlineStr">
        <is>
          <t>Broker</t>
        </is>
      </c>
      <c r="R13" s="108" t="inlineStr">
        <is>
          <t>Borrower Reviewing Term Sheet</t>
        </is>
      </c>
    </row>
    <row r="14" ht="12.75" customFormat="1" customHeight="1" s="98">
      <c r="A14" s="135" t="n"/>
      <c r="B14" s="108" t="inlineStr">
        <is>
          <t>Finsgate House, Old Street</t>
        </is>
      </c>
      <c r="C14" s="157" t="inlineStr">
        <is>
          <t>Office</t>
        </is>
      </c>
      <c r="D14" s="108" t="inlineStr">
        <is>
          <t>Rocket Properties</t>
        </is>
      </c>
      <c r="E14" s="120" t="inlineStr">
        <is>
          <t>Senior</t>
        </is>
      </c>
      <c r="F14" s="120" t="inlineStr">
        <is>
          <t>Bridge</t>
        </is>
      </c>
      <c r="G14" s="120" t="inlineStr">
        <is>
          <t>R</t>
        </is>
      </c>
      <c r="H14" s="121" t="n">
        <v>20</v>
      </c>
      <c r="I14" s="122" t="n">
        <v>3.8</v>
      </c>
      <c r="J14" s="121" t="n">
        <v>22</v>
      </c>
      <c r="K14" s="121" t="n">
        <v>33</v>
      </c>
      <c r="L14" s="123">
        <f>J14/K14</f>
        <v/>
      </c>
      <c r="M14" s="120" t="n">
        <v>18</v>
      </c>
      <c r="N14" s="124" t="n">
        <v>0.127</v>
      </c>
      <c r="O14" s="125" t="inlineStr">
        <is>
          <t>Yes</t>
        </is>
      </c>
      <c r="P14" s="120" t="inlineStr">
        <is>
          <t>No</t>
        </is>
      </c>
      <c r="Q14" s="108" t="inlineStr">
        <is>
          <t>Direct</t>
        </is>
      </c>
      <c r="R14" s="108" t="inlineStr">
        <is>
          <t xml:space="preserve">Likely to go with Oak North and ASK </t>
        </is>
      </c>
    </row>
    <row r="15" ht="12.75" customFormat="1" customHeight="1" s="98">
      <c r="A15" s="108" t="n"/>
      <c r="B15" s="108" t="inlineStr">
        <is>
          <t>45 Wilton Cresecent Belgravia</t>
        </is>
      </c>
      <c r="C15" s="108" t="inlineStr">
        <is>
          <t>Resi</t>
        </is>
      </c>
      <c r="D15" s="108" t="inlineStr">
        <is>
          <t xml:space="preserve">Jane </t>
        </is>
      </c>
      <c r="E15" s="120" t="inlineStr">
        <is>
          <t>Senior</t>
        </is>
      </c>
      <c r="F15" s="120" t="inlineStr">
        <is>
          <t>Bridge</t>
        </is>
      </c>
      <c r="G15" s="120" t="inlineStr">
        <is>
          <t>A</t>
        </is>
      </c>
      <c r="H15" s="121" t="n">
        <v>7.6</v>
      </c>
      <c r="I15" s="122" t="n">
        <v>0.84</v>
      </c>
      <c r="J15" s="121" t="n">
        <v>8.4</v>
      </c>
      <c r="K15" s="121" t="n">
        <v>10.5</v>
      </c>
      <c r="L15" s="123">
        <f>J15/K15</f>
        <v/>
      </c>
      <c r="M15" s="120" t="n">
        <v>9</v>
      </c>
      <c r="N15" s="124" t="n">
        <v>0.15</v>
      </c>
      <c r="O15" s="125" t="inlineStr">
        <is>
          <t>No</t>
        </is>
      </c>
      <c r="P15" s="120" t="inlineStr">
        <is>
          <t>No</t>
        </is>
      </c>
      <c r="Q15" s="108" t="inlineStr">
        <is>
          <t>Direct</t>
        </is>
      </c>
      <c r="R15" s="108" t="inlineStr">
        <is>
          <t>Has terms with Century Capital for higher loan amount</t>
        </is>
      </c>
    </row>
    <row r="16" ht="12.75" customFormat="1" customHeight="1" s="98">
      <c r="A16" s="120" t="n"/>
      <c r="B16" s="108" t="inlineStr">
        <is>
          <t>St Andrews House, Liverpool</t>
        </is>
      </c>
      <c r="C16" s="157" t="inlineStr">
        <is>
          <t>Hotel</t>
        </is>
      </c>
      <c r="D16" s="108" t="inlineStr">
        <is>
          <t>HNW</t>
        </is>
      </c>
      <c r="E16" s="120" t="inlineStr">
        <is>
          <t>Senior</t>
        </is>
      </c>
      <c r="F16" s="120" t="inlineStr">
        <is>
          <t>Bridge</t>
        </is>
      </c>
      <c r="G16" s="120" t="inlineStr">
        <is>
          <t>R</t>
        </is>
      </c>
      <c r="H16" s="121" t="n">
        <v>10.5</v>
      </c>
      <c r="I16" s="122" t="n">
        <v>1.38</v>
      </c>
      <c r="J16" s="121" t="n">
        <v>11.9</v>
      </c>
      <c r="K16" s="121" t="n">
        <v>20</v>
      </c>
      <c r="L16" s="123">
        <f>J16/K16</f>
        <v/>
      </c>
      <c r="M16" s="120" t="n">
        <v>12</v>
      </c>
      <c r="N16" s="124" t="n">
        <v>0.131</v>
      </c>
      <c r="O16" s="125" t="inlineStr">
        <is>
          <t>Yes</t>
        </is>
      </c>
      <c r="P16" s="120" t="inlineStr">
        <is>
          <t>No</t>
        </is>
      </c>
      <c r="Q16" s="108" t="inlineStr">
        <is>
          <t>Broker</t>
        </is>
      </c>
      <c r="R16" s="108" t="inlineStr">
        <is>
          <t>Awaiting feedback from Broker</t>
        </is>
      </c>
    </row>
    <row r="17" ht="12.75" customFormat="1" customHeight="1" s="98">
      <c r="A17" s="108" t="n"/>
      <c r="B17" s="108" t="inlineStr">
        <is>
          <t>London and Rochdale Portfolio</t>
        </is>
      </c>
      <c r="C17" s="157" t="inlineStr">
        <is>
          <t>Resi / Commercial</t>
        </is>
      </c>
      <c r="D17" s="108" t="inlineStr">
        <is>
          <t>Navana Real Estate</t>
        </is>
      </c>
      <c r="E17" s="120" t="inlineStr">
        <is>
          <t>Senior</t>
        </is>
      </c>
      <c r="F17" s="120" t="inlineStr">
        <is>
          <t>Bridge</t>
        </is>
      </c>
      <c r="G17" s="120" t="inlineStr">
        <is>
          <t>R</t>
        </is>
      </c>
      <c r="H17" s="121" t="n">
        <v>25</v>
      </c>
      <c r="I17" s="122" t="n">
        <v>4.8</v>
      </c>
      <c r="J17" s="121" t="n">
        <v>26</v>
      </c>
      <c r="K17" s="121" t="n">
        <v>40</v>
      </c>
      <c r="L17" s="123">
        <f>J17/K17</f>
        <v/>
      </c>
      <c r="M17" s="120" t="n">
        <v>18</v>
      </c>
      <c r="N17" s="124" t="n">
        <v>0.13</v>
      </c>
      <c r="O17" s="125" t="inlineStr">
        <is>
          <t>No</t>
        </is>
      </c>
      <c r="P17" s="120" t="inlineStr">
        <is>
          <t>No</t>
        </is>
      </c>
      <c r="Q17" s="108" t="inlineStr">
        <is>
          <t>Broker</t>
        </is>
      </c>
      <c r="R17" s="108" t="inlineStr">
        <is>
          <t>Reviewing</t>
        </is>
      </c>
    </row>
    <row r="18" ht="12.75" customFormat="1" customHeight="1" s="98">
      <c r="A18" s="108" t="n"/>
      <c r="B18" s="108" t="inlineStr">
        <is>
          <t>Northwood Church and Police Station</t>
        </is>
      </c>
      <c r="C18" s="157" t="inlineStr">
        <is>
          <t>D1 - cultural/non resi</t>
        </is>
      </c>
      <c r="D18" s="108" t="inlineStr">
        <is>
          <t>Iron Aid Foundation</t>
        </is>
      </c>
      <c r="E18" s="120" t="inlineStr">
        <is>
          <t>Senior</t>
        </is>
      </c>
      <c r="F18" s="120" t="inlineStr">
        <is>
          <t>Bridge</t>
        </is>
      </c>
      <c r="G18" s="120" t="inlineStr">
        <is>
          <t>A</t>
        </is>
      </c>
      <c r="H18" s="121" t="n">
        <v>2.5</v>
      </c>
      <c r="I18" s="122" t="n">
        <v>0.3</v>
      </c>
      <c r="J18" s="121" t="n">
        <v>2.8</v>
      </c>
      <c r="K18" s="121" t="n">
        <v>5.25</v>
      </c>
      <c r="L18" s="123">
        <f>J18/K18</f>
        <v/>
      </c>
      <c r="M18" s="120" t="n">
        <v>12</v>
      </c>
      <c r="N18" s="124" t="n">
        <v>0.135</v>
      </c>
      <c r="O18" s="125" t="inlineStr">
        <is>
          <t>No</t>
        </is>
      </c>
      <c r="P18" s="120" t="inlineStr">
        <is>
          <t>No</t>
        </is>
      </c>
      <c r="Q18" s="108" t="inlineStr">
        <is>
          <t>Broker</t>
        </is>
      </c>
      <c r="R18" s="108" t="inlineStr">
        <is>
          <t>Reviewing</t>
        </is>
      </c>
    </row>
    <row r="19" ht="12.75" customFormat="1" customHeight="1" s="98">
      <c r="A19" s="108" t="n"/>
      <c r="B19" s="108" t="inlineStr">
        <is>
          <t>DNA Uxbridge</t>
        </is>
      </c>
      <c r="C19" s="157" t="inlineStr">
        <is>
          <t>Retail</t>
        </is>
      </c>
      <c r="D19" s="108" t="inlineStr">
        <is>
          <t>DNA Partners</t>
        </is>
      </c>
      <c r="E19" s="120" t="inlineStr">
        <is>
          <t>Senior</t>
        </is>
      </c>
      <c r="F19" s="120" t="inlineStr">
        <is>
          <t>Bridge</t>
        </is>
      </c>
      <c r="G19" s="120" t="inlineStr">
        <is>
          <t>R</t>
        </is>
      </c>
      <c r="H19" s="121" t="n">
        <v>7</v>
      </c>
      <c r="I19" s="122" t="n">
        <v>1.46</v>
      </c>
      <c r="J19" s="121" t="n">
        <v>7.85</v>
      </c>
      <c r="K19" s="121" t="n">
        <v>11</v>
      </c>
      <c r="L19" s="123">
        <f>J19/K19</f>
        <v/>
      </c>
      <c r="M19" s="120" t="n">
        <v>18</v>
      </c>
      <c r="N19" s="124" t="n">
        <v>0.139</v>
      </c>
      <c r="O19" s="125" t="inlineStr">
        <is>
          <t>No</t>
        </is>
      </c>
      <c r="P19" s="120" t="inlineStr">
        <is>
          <t>No</t>
        </is>
      </c>
      <c r="Q19" s="108" t="inlineStr">
        <is>
          <t>Broker</t>
        </is>
      </c>
      <c r="R19" s="108" t="inlineStr">
        <is>
          <t>Borrower has terms from other lender and is comparing</t>
        </is>
      </c>
    </row>
    <row r="20" ht="12.75" customFormat="1" customHeight="1" s="98">
      <c r="A20" s="108" t="n"/>
      <c r="B20" s="108" t="inlineStr">
        <is>
          <t>Reading Office</t>
        </is>
      </c>
      <c r="C20" s="157" t="inlineStr">
        <is>
          <t>Office</t>
        </is>
      </c>
      <c r="D20" s="108" t="inlineStr">
        <is>
          <t>Elder</t>
        </is>
      </c>
      <c r="E20" s="120" t="inlineStr">
        <is>
          <t>Senior</t>
        </is>
      </c>
      <c r="F20" s="120" t="inlineStr">
        <is>
          <t>Bridge</t>
        </is>
      </c>
      <c r="G20" s="120" t="inlineStr">
        <is>
          <t>A</t>
        </is>
      </c>
      <c r="H20" s="121" t="n">
        <v>2.468</v>
      </c>
      <c r="I20" s="122" t="n">
        <v>0.339</v>
      </c>
      <c r="J20" s="121" t="n">
        <v>2.49</v>
      </c>
      <c r="K20" s="121" t="n">
        <v>3.95</v>
      </c>
      <c r="L20" s="123">
        <f>J20/K20</f>
        <v/>
      </c>
      <c r="M20" s="120" t="n">
        <v>12</v>
      </c>
      <c r="N20" s="124" t="n">
        <v>0.147</v>
      </c>
      <c r="O20" s="125" t="inlineStr">
        <is>
          <t>No</t>
        </is>
      </c>
      <c r="P20" s="120" t="inlineStr">
        <is>
          <t>No</t>
        </is>
      </c>
      <c r="Q20" s="108" t="inlineStr">
        <is>
          <t>Broker (James Grey)</t>
        </is>
      </c>
      <c r="R20" s="108" t="inlineStr">
        <is>
          <t xml:space="preserve">Awaiting Feedback on terms </t>
        </is>
      </c>
    </row>
    <row r="21" ht="12.75" customFormat="1" customHeight="1" s="98">
      <c r="A21" s="108" t="n"/>
      <c r="B21" s="108" t="inlineStr">
        <is>
          <t>London Office Portfolio</t>
        </is>
      </c>
      <c r="C21" s="157" t="inlineStr">
        <is>
          <t>Office</t>
        </is>
      </c>
      <c r="D21" s="108" t="inlineStr">
        <is>
          <t>Bedrock</t>
        </is>
      </c>
      <c r="E21" s="120" t="inlineStr">
        <is>
          <t>Mezz</t>
        </is>
      </c>
      <c r="F21" s="120" t="inlineStr">
        <is>
          <t>Bridge</t>
        </is>
      </c>
      <c r="G21" s="120" t="inlineStr">
        <is>
          <t>R</t>
        </is>
      </c>
      <c r="H21" s="121" t="n">
        <v>2.875</v>
      </c>
      <c r="I21" s="122" t="n">
        <v>0.598</v>
      </c>
      <c r="J21" s="121" t="n">
        <v>3.4</v>
      </c>
      <c r="K21" s="121" t="n">
        <v>24.4</v>
      </c>
      <c r="L21" s="123" t="n">
        <v>0.51</v>
      </c>
      <c r="M21" s="120" t="n">
        <v>12</v>
      </c>
      <c r="N21" s="124" t="n">
        <v>0.215</v>
      </c>
      <c r="O21" s="125" t="inlineStr">
        <is>
          <t>No</t>
        </is>
      </c>
      <c r="P21" s="120" t="inlineStr">
        <is>
          <t>No</t>
        </is>
      </c>
      <c r="Q21" s="108" t="inlineStr">
        <is>
          <t>Broker (Robert Sandler)</t>
        </is>
      </c>
      <c r="R21" s="108" t="n"/>
    </row>
    <row r="22" ht="12.75" customFormat="1" customHeight="1" s="98">
      <c r="A22" s="108" t="n"/>
      <c r="B22" s="108" t="inlineStr">
        <is>
          <t>Mercury Park Beaconsfield</t>
        </is>
      </c>
      <c r="C22" s="157" t="inlineStr">
        <is>
          <t>Office</t>
        </is>
      </c>
      <c r="D22" s="108" t="n"/>
      <c r="E22" s="120" t="n"/>
      <c r="F22" s="120" t="n"/>
      <c r="G22" s="120" t="n"/>
      <c r="H22" s="121" t="n"/>
      <c r="I22" s="122" t="n"/>
      <c r="J22" s="121" t="n"/>
      <c r="K22" s="121" t="n"/>
      <c r="L22" s="123" t="n"/>
      <c r="M22" s="120" t="n"/>
      <c r="N22" s="124" t="n"/>
      <c r="O22" s="125" t="n"/>
      <c r="P22" s="120" t="n"/>
      <c r="Q22" s="108" t="n"/>
      <c r="R22" s="108" t="n"/>
    </row>
    <row r="23" ht="12.75" customFormat="1" customHeight="1" s="98">
      <c r="B23" s="108" t="inlineStr">
        <is>
          <t>60 Upper Berkley Street</t>
        </is>
      </c>
      <c r="C23" s="129" t="inlineStr">
        <is>
          <t>Residential</t>
        </is>
      </c>
      <c r="D23" s="108" t="n"/>
      <c r="E23" s="120" t="inlineStr">
        <is>
          <t>Senior</t>
        </is>
      </c>
      <c r="F23" s="120" t="inlineStr">
        <is>
          <t>Bridge</t>
        </is>
      </c>
      <c r="G23" s="120" t="inlineStr">
        <is>
          <t>R</t>
        </is>
      </c>
      <c r="H23" s="121" t="n">
        <v>3.412</v>
      </c>
      <c r="I23" s="122" t="n">
        <v>0.391</v>
      </c>
      <c r="J23" s="121" t="n">
        <v>3.45</v>
      </c>
      <c r="K23" s="121" t="n">
        <v>5.25</v>
      </c>
      <c r="L23" s="123">
        <f>J23/K23</f>
        <v/>
      </c>
      <c r="M23" s="120" t="n">
        <v>9</v>
      </c>
      <c r="N23" s="124" t="n">
        <v>0.165</v>
      </c>
      <c r="O23" s="120" t="inlineStr">
        <is>
          <t>YES</t>
        </is>
      </c>
      <c r="P23" s="120" t="inlineStr">
        <is>
          <t>YES</t>
        </is>
      </c>
      <c r="Q23" s="108" t="inlineStr">
        <is>
          <t>Broker (Opes)</t>
        </is>
      </c>
      <c r="R23" s="108" t="inlineStr">
        <is>
          <t>Obtaining Credit Approval</t>
        </is>
      </c>
    </row>
    <row r="24" ht="12.75" customFormat="1" customHeight="1" s="98">
      <c r="A24" s="108" t="n"/>
      <c r="B24" s="175" t="inlineStr">
        <is>
          <t xml:space="preserve">68 Lombard Street </t>
        </is>
      </c>
      <c r="C24" s="176" t="inlineStr">
        <is>
          <t>Office</t>
        </is>
      </c>
      <c r="D24" s="98" t="inlineStr">
        <is>
          <t>Candour</t>
        </is>
      </c>
      <c r="E24" s="177" t="inlineStr">
        <is>
          <t>Mezz</t>
        </is>
      </c>
      <c r="F24" s="177" t="inlineStr">
        <is>
          <t>Bridge</t>
        </is>
      </c>
      <c r="G24" s="177" t="inlineStr">
        <is>
          <t xml:space="preserve">A </t>
        </is>
      </c>
      <c r="H24" s="178" t="n">
        <v>4.33</v>
      </c>
      <c r="I24" s="179" t="n">
        <v>1.2</v>
      </c>
      <c r="J24" s="178" t="n">
        <v>4.6</v>
      </c>
      <c r="K24" s="121" t="n">
        <v>21</v>
      </c>
      <c r="L24" s="123" t="n">
        <v>0.75</v>
      </c>
      <c r="M24" s="120" t="n">
        <v>15</v>
      </c>
      <c r="N24" s="124" t="n">
        <v>0.24</v>
      </c>
      <c r="O24" s="125" t="inlineStr">
        <is>
          <t>No</t>
        </is>
      </c>
      <c r="P24" s="120" t="inlineStr">
        <is>
          <t>No</t>
        </is>
      </c>
      <c r="Q24" s="108" t="inlineStr">
        <is>
          <t>Direct</t>
        </is>
      </c>
      <c r="R24" s="108" t="inlineStr">
        <is>
          <t xml:space="preserve">Awaiting Feedback on terms </t>
        </is>
      </c>
    </row>
    <row r="25" ht="12.75" customFormat="1" customHeight="1" s="98">
      <c r="A25" s="108" t="n"/>
      <c r="B25" s="108" t="inlineStr">
        <is>
          <t>56-60 Hallam Street</t>
        </is>
      </c>
      <c r="C25" s="157" t="inlineStr">
        <is>
          <t>Office</t>
        </is>
      </c>
      <c r="D25" s="108" t="inlineStr">
        <is>
          <t>Kinland</t>
        </is>
      </c>
      <c r="E25" s="120" t="inlineStr">
        <is>
          <t xml:space="preserve">Senior </t>
        </is>
      </c>
      <c r="F25" s="120" t="inlineStr">
        <is>
          <t>Birdge</t>
        </is>
      </c>
      <c r="G25" s="120" t="inlineStr">
        <is>
          <t>A</t>
        </is>
      </c>
      <c r="H25" s="121" t="n">
        <v>5.79</v>
      </c>
      <c r="I25" s="122" t="n">
        <v>0.62</v>
      </c>
      <c r="J25" s="121" t="n">
        <v>5.87</v>
      </c>
      <c r="K25" s="121" t="n">
        <v>8.265000000000001</v>
      </c>
      <c r="L25" s="123">
        <f>J25/K25</f>
        <v/>
      </c>
      <c r="M25" s="120" t="n">
        <v>9</v>
      </c>
      <c r="N25" s="124" t="n">
        <v>0.153</v>
      </c>
      <c r="O25" s="125" t="inlineStr">
        <is>
          <t>No</t>
        </is>
      </c>
      <c r="P25" s="120" t="inlineStr">
        <is>
          <t>No</t>
        </is>
      </c>
      <c r="Q25" s="108" t="inlineStr">
        <is>
          <t>Broker (Arc &amp; Co)</t>
        </is>
      </c>
      <c r="R25" s="108" t="inlineStr">
        <is>
          <t xml:space="preserve">Awaiting Feedback on terms </t>
        </is>
      </c>
    </row>
    <row r="26" ht="12.75" customFormat="1" customHeight="1" s="98">
      <c r="A26" s="108" t="n"/>
      <c r="B26" s="108" t="inlineStr">
        <is>
          <t>Hammersmith</t>
        </is>
      </c>
      <c r="C26" s="108" t="inlineStr">
        <is>
          <t>Office</t>
        </is>
      </c>
      <c r="D26" s="108" t="inlineStr">
        <is>
          <t>Atlis</t>
        </is>
      </c>
      <c r="E26" s="120" t="inlineStr">
        <is>
          <t>Senior</t>
        </is>
      </c>
      <c r="F26" s="120" t="inlineStr">
        <is>
          <t>Bridge</t>
        </is>
      </c>
      <c r="G26" s="120" t="inlineStr">
        <is>
          <t>A</t>
        </is>
      </c>
      <c r="H26" s="121" t="n">
        <v>16.8</v>
      </c>
      <c r="I26" s="122" t="n">
        <v>1.78</v>
      </c>
      <c r="J26" s="121" t="n">
        <v>16.8</v>
      </c>
      <c r="K26" s="121" t="n">
        <v>24</v>
      </c>
      <c r="L26" s="123" t="n">
        <v>0.7</v>
      </c>
      <c r="M26" s="120" t="n">
        <v>9</v>
      </c>
      <c r="N26" s="124" t="n">
        <v>0.152</v>
      </c>
      <c r="O26" s="125" t="inlineStr">
        <is>
          <t>No</t>
        </is>
      </c>
      <c r="P26" s="120" t="inlineStr">
        <is>
          <t>No</t>
        </is>
      </c>
      <c r="Q26" s="108" t="inlineStr">
        <is>
          <t>Broker</t>
        </is>
      </c>
      <c r="R26" s="108" t="n"/>
    </row>
    <row r="27" ht="12.75" customFormat="1" customHeight="1" s="98">
      <c r="A27" s="108" t="n"/>
      <c r="B27" s="108" t="inlineStr">
        <is>
          <t>Upper Brook Street</t>
        </is>
      </c>
      <c r="C27" s="108" t="inlineStr">
        <is>
          <t>Residential</t>
        </is>
      </c>
      <c r="D27" s="108" t="inlineStr">
        <is>
          <t>HNW</t>
        </is>
      </c>
      <c r="E27" s="120" t="inlineStr">
        <is>
          <t>Seniore</t>
        </is>
      </c>
      <c r="F27" s="120" t="inlineStr">
        <is>
          <t>Bridge</t>
        </is>
      </c>
      <c r="G27" s="120" t="inlineStr">
        <is>
          <t>A</t>
        </is>
      </c>
      <c r="H27" s="121" t="n">
        <v>7.42</v>
      </c>
      <c r="I27" s="122" t="n">
        <v>1.07</v>
      </c>
      <c r="J27" s="121" t="n">
        <v>7.42</v>
      </c>
      <c r="K27" s="121" t="n">
        <v>10.6</v>
      </c>
      <c r="L27" s="123" t="n">
        <v>0.7</v>
      </c>
      <c r="M27" s="120" t="n">
        <v>12</v>
      </c>
      <c r="N27" s="124" t="n">
        <v>0.15</v>
      </c>
      <c r="O27" s="125" t="inlineStr">
        <is>
          <t>Yes</t>
        </is>
      </c>
      <c r="P27" s="120" t="inlineStr">
        <is>
          <t>No</t>
        </is>
      </c>
      <c r="Q27" s="108" t="inlineStr">
        <is>
          <t>Broker</t>
        </is>
      </c>
      <c r="R27" s="108" t="n"/>
    </row>
    <row r="28" ht="12.75" customFormat="1" customHeight="1" s="98">
      <c r="A28" s="108" t="n"/>
      <c r="B28" s="108" t="inlineStr">
        <is>
          <t>51 Eastcheap</t>
        </is>
      </c>
      <c r="C28" s="108" t="inlineStr">
        <is>
          <t>Office</t>
        </is>
      </c>
      <c r="D28" s="108" t="inlineStr">
        <is>
          <t>Longstock</t>
        </is>
      </c>
      <c r="E28" s="120" t="inlineStr">
        <is>
          <t>Senior</t>
        </is>
      </c>
      <c r="F28" s="120" t="inlineStr">
        <is>
          <t>Bridge</t>
        </is>
      </c>
      <c r="G28" s="120" t="inlineStr">
        <is>
          <t>A</t>
        </is>
      </c>
      <c r="H28" s="121" t="n">
        <v>23.75</v>
      </c>
      <c r="I28" s="122" t="n">
        <v>5.7</v>
      </c>
      <c r="J28" s="121" t="n">
        <v>23.75</v>
      </c>
      <c r="K28" s="121" t="n">
        <v>47.5</v>
      </c>
      <c r="L28" s="123">
        <f>J28/K28</f>
        <v/>
      </c>
      <c r="M28" s="120" t="n">
        <v>24</v>
      </c>
      <c r="N28" s="124" t="n">
        <v>0.1288</v>
      </c>
      <c r="O28" s="125" t="inlineStr">
        <is>
          <t>No</t>
        </is>
      </c>
      <c r="P28" s="120" t="inlineStr">
        <is>
          <t>No</t>
        </is>
      </c>
      <c r="Q28" s="108" t="inlineStr">
        <is>
          <t>Direct</t>
        </is>
      </c>
      <c r="R28" s="108" t="n"/>
    </row>
    <row r="29" ht="12.75" customFormat="1" customHeight="1" s="98">
      <c r="A29" s="108" t="n"/>
      <c r="B29" s="108" t="inlineStr">
        <is>
          <t>Reading Office</t>
        </is>
      </c>
      <c r="C29" s="108" t="inlineStr">
        <is>
          <t>Office</t>
        </is>
      </c>
      <c r="D29" s="108" t="n"/>
      <c r="E29" s="120" t="inlineStr">
        <is>
          <t>Senior</t>
        </is>
      </c>
      <c r="F29" s="120" t="inlineStr">
        <is>
          <t>Bridge</t>
        </is>
      </c>
      <c r="G29" s="120" t="inlineStr">
        <is>
          <t>A</t>
        </is>
      </c>
      <c r="H29" s="121" t="n">
        <v>2.56</v>
      </c>
      <c r="I29" s="122" t="n">
        <v>0.5</v>
      </c>
      <c r="J29" s="121" t="n">
        <v>2.56</v>
      </c>
      <c r="K29" s="121" t="n">
        <v>3.95</v>
      </c>
      <c r="L29" s="123">
        <f>J29/K29</f>
        <v/>
      </c>
      <c r="M29" s="120" t="n">
        <v>18</v>
      </c>
      <c r="N29" s="124" t="n">
        <v>0.1394</v>
      </c>
      <c r="O29" s="125" t="inlineStr">
        <is>
          <t>No</t>
        </is>
      </c>
      <c r="P29" s="120" t="inlineStr">
        <is>
          <t>No</t>
        </is>
      </c>
      <c r="Q29" s="108" t="inlineStr">
        <is>
          <t>Broker</t>
        </is>
      </c>
      <c r="R29" s="108" t="n"/>
      <c r="S29" s="107" t="n"/>
      <c r="T29" s="107" t="n"/>
      <c r="U29" s="107" t="n"/>
    </row>
    <row r="30" ht="12.75" customFormat="1" customHeight="1" s="98">
      <c r="A30" s="155" t="n">
        <v>45689</v>
      </c>
      <c r="B30" s="108" t="inlineStr">
        <is>
          <t>Disley, Cheshire</t>
        </is>
      </c>
      <c r="C30" s="120" t="inlineStr">
        <is>
          <t>Resdiential</t>
        </is>
      </c>
      <c r="D30" s="108" t="inlineStr">
        <is>
          <t>Rohit Patel</t>
        </is>
      </c>
      <c r="E30" s="120" t="inlineStr">
        <is>
          <t>Senior</t>
        </is>
      </c>
      <c r="F30" s="120" t="inlineStr">
        <is>
          <t>Bridge</t>
        </is>
      </c>
      <c r="G30" s="120" t="inlineStr">
        <is>
          <t>R</t>
        </is>
      </c>
      <c r="H30" s="121" t="n">
        <v>2</v>
      </c>
      <c r="I30" s="122" t="n">
        <v>0.21</v>
      </c>
      <c r="J30" s="121" t="n">
        <v>2</v>
      </c>
      <c r="K30" s="121" t="n">
        <v>3.6</v>
      </c>
      <c r="L30" s="123">
        <f>J30/K30</f>
        <v/>
      </c>
      <c r="M30" s="120" t="n">
        <v>9</v>
      </c>
      <c r="N30" s="124" t="n">
        <v>0.157</v>
      </c>
      <c r="O30" s="125" t="inlineStr">
        <is>
          <t>N</t>
        </is>
      </c>
      <c r="P30" s="120" t="inlineStr">
        <is>
          <t>N</t>
        </is>
      </c>
      <c r="Q30" s="108" t="inlineStr">
        <is>
          <t>Direct</t>
        </is>
      </c>
      <c r="R30" s="108" t="n"/>
    </row>
    <row r="31" ht="12.75" customFormat="1" customHeight="1" s="98">
      <c r="A31" s="155" t="n">
        <v>45717</v>
      </c>
      <c r="B31" s="108" t="inlineStr">
        <is>
          <t>Watford &amp; Willesden</t>
        </is>
      </c>
      <c r="C31" s="120" t="inlineStr">
        <is>
          <t>Resi &amp; Commercial</t>
        </is>
      </c>
      <c r="D31" s="108" t="inlineStr">
        <is>
          <t>Rabia Gardezi</t>
        </is>
      </c>
      <c r="E31" s="120" t="inlineStr">
        <is>
          <t>Senior</t>
        </is>
      </c>
      <c r="F31" s="120" t="inlineStr">
        <is>
          <t>Bridge</t>
        </is>
      </c>
      <c r="G31" s="120" t="inlineStr">
        <is>
          <t>R</t>
        </is>
      </c>
      <c r="H31" s="121" t="n">
        <v>0.8149999999999999</v>
      </c>
      <c r="I31" s="122" t="n">
        <v>0.1</v>
      </c>
      <c r="J31" s="121" t="n">
        <v>0.8149999999999999</v>
      </c>
      <c r="K31" s="121" t="n">
        <v>1.9</v>
      </c>
      <c r="L31" s="123">
        <f>J31/K31</f>
        <v/>
      </c>
      <c r="M31" s="120" t="n">
        <v>12</v>
      </c>
      <c r="N31" s="124" t="n">
        <v>0.141</v>
      </c>
      <c r="O31" s="125" t="inlineStr">
        <is>
          <t>N</t>
        </is>
      </c>
      <c r="P31" s="120" t="inlineStr">
        <is>
          <t>N</t>
        </is>
      </c>
      <c r="Q31" s="108" t="inlineStr">
        <is>
          <t>Broker</t>
        </is>
      </c>
      <c r="R31" s="108" t="n"/>
      <c r="S31" s="98" t="inlineStr">
        <is>
          <t>Darshan Daswani Fast Forward Capital</t>
        </is>
      </c>
    </row>
    <row r="32" ht="12.75" customFormat="1" customHeight="1" s="98">
      <c r="A32" s="155" t="n">
        <v>45717</v>
      </c>
      <c r="B32" s="108" t="inlineStr">
        <is>
          <t>Marble Arch &amp; Mayfair</t>
        </is>
      </c>
      <c r="C32" s="120" t="inlineStr">
        <is>
          <t>Resi</t>
        </is>
      </c>
      <c r="D32" s="108" t="inlineStr">
        <is>
          <t>Ahmed Family</t>
        </is>
      </c>
      <c r="E32" s="120" t="inlineStr">
        <is>
          <t>Senior</t>
        </is>
      </c>
      <c r="F32" s="120" t="inlineStr">
        <is>
          <t>Bridge</t>
        </is>
      </c>
      <c r="G32" s="120" t="inlineStr">
        <is>
          <t>R</t>
        </is>
      </c>
      <c r="H32" s="121" t="n">
        <v>18</v>
      </c>
      <c r="I32" s="122" t="n">
        <v>2.45</v>
      </c>
      <c r="J32" s="121" t="n">
        <v>18</v>
      </c>
      <c r="K32" s="121" t="n">
        <v>30</v>
      </c>
      <c r="L32" s="123">
        <f>J32/K32</f>
        <v/>
      </c>
      <c r="M32" s="120" t="n">
        <v>12</v>
      </c>
      <c r="N32" s="124" t="n">
        <v>0.147</v>
      </c>
      <c r="O32" s="125" t="inlineStr">
        <is>
          <t>N</t>
        </is>
      </c>
      <c r="P32" s="120" t="inlineStr">
        <is>
          <t>N</t>
        </is>
      </c>
      <c r="Q32" s="108" t="inlineStr">
        <is>
          <t>Broker</t>
        </is>
      </c>
      <c r="R32" s="108" t="n"/>
      <c r="S32" s="98" t="inlineStr">
        <is>
          <t>Jack Collins</t>
        </is>
      </c>
    </row>
    <row r="33" ht="12.75" customFormat="1" customHeight="1" s="98">
      <c r="A33" s="155" t="n">
        <v>45717</v>
      </c>
      <c r="B33" s="108" t="inlineStr">
        <is>
          <t>Cheltenham</t>
        </is>
      </c>
      <c r="C33" s="120" t="inlineStr">
        <is>
          <t>Resi</t>
        </is>
      </c>
      <c r="D33" s="108" t="inlineStr">
        <is>
          <t>Mondeche Limited</t>
        </is>
      </c>
      <c r="E33" s="120" t="inlineStr">
        <is>
          <t>Senior</t>
        </is>
      </c>
      <c r="F33" s="120" t="inlineStr">
        <is>
          <t>Bridge</t>
        </is>
      </c>
      <c r="G33" s="120" t="inlineStr">
        <is>
          <t>R</t>
        </is>
      </c>
      <c r="H33" s="121" t="n">
        <v>5.5</v>
      </c>
      <c r="I33" s="122" t="n"/>
      <c r="J33" s="121" t="n">
        <v>5.5</v>
      </c>
      <c r="K33" s="121" t="n">
        <v>7.4</v>
      </c>
      <c r="L33" s="123">
        <f>J33/K33</f>
        <v/>
      </c>
      <c r="M33" s="120" t="n">
        <v>12</v>
      </c>
      <c r="N33" s="124" t="n">
        <v>0.14</v>
      </c>
      <c r="O33" s="125" t="inlineStr">
        <is>
          <t>N</t>
        </is>
      </c>
      <c r="P33" s="120" t="inlineStr">
        <is>
          <t>N</t>
        </is>
      </c>
      <c r="Q33" s="108" t="inlineStr">
        <is>
          <t>Broker</t>
        </is>
      </c>
      <c r="R33" s="108" t="n"/>
      <c r="S33" s="98" t="inlineStr">
        <is>
          <t>Merry Oaks</t>
        </is>
      </c>
    </row>
    <row r="34" ht="12.75" customFormat="1" customHeight="1" s="98">
      <c r="A34" s="155" t="n">
        <v>45689</v>
      </c>
      <c r="B34" s="108" t="inlineStr">
        <is>
          <t>1 Westmoreland Bromley</t>
        </is>
      </c>
      <c r="C34" s="120" t="inlineStr">
        <is>
          <t>Office</t>
        </is>
      </c>
      <c r="D34" s="108" t="inlineStr">
        <is>
          <t>LLG</t>
        </is>
      </c>
      <c r="E34" s="120" t="inlineStr">
        <is>
          <t>Senior</t>
        </is>
      </c>
      <c r="F34" s="120" t="inlineStr">
        <is>
          <t>Bridge</t>
        </is>
      </c>
      <c r="G34" s="120" t="inlineStr">
        <is>
          <t>R</t>
        </is>
      </c>
      <c r="H34" s="121" t="n">
        <v>4</v>
      </c>
      <c r="I34" s="122" t="n">
        <v>0.55</v>
      </c>
      <c r="J34" s="121" t="n">
        <v>4</v>
      </c>
      <c r="K34" s="121" t="n">
        <v>7</v>
      </c>
      <c r="L34" s="123">
        <f>J34/K34</f>
        <v/>
      </c>
      <c r="M34" s="120" t="n">
        <v>12</v>
      </c>
      <c r="N34" s="124" t="n">
        <v>0.147</v>
      </c>
      <c r="O34" s="125" t="inlineStr">
        <is>
          <t>Y</t>
        </is>
      </c>
      <c r="P34" s="120" t="inlineStr">
        <is>
          <t>N</t>
        </is>
      </c>
      <c r="Q34" s="108" t="inlineStr">
        <is>
          <t>Broker</t>
        </is>
      </c>
      <c r="R34" s="108" t="inlineStr">
        <is>
          <t>Borrower did not require funds anymore</t>
        </is>
      </c>
      <c r="S34" s="98" t="inlineStr">
        <is>
          <t>James Grey ARE Capital Advisors</t>
        </is>
      </c>
    </row>
    <row r="35" ht="12.75" customFormat="1" customHeight="1" s="98">
      <c r="A35" s="155" t="n">
        <v>45717</v>
      </c>
      <c r="B35" s="108" t="inlineStr">
        <is>
          <t>Arthur Stanley House, Fitzrovia</t>
        </is>
      </c>
      <c r="C35" s="120" t="inlineStr">
        <is>
          <t>Office</t>
        </is>
      </c>
      <c r="D35" s="108" t="inlineStr">
        <is>
          <t>Westbook Partners</t>
        </is>
      </c>
      <c r="E35" s="120" t="inlineStr">
        <is>
          <t>Mezz</t>
        </is>
      </c>
      <c r="F35" s="120" t="inlineStr">
        <is>
          <t>Bridge</t>
        </is>
      </c>
      <c r="G35" s="120" t="inlineStr">
        <is>
          <t>R</t>
        </is>
      </c>
      <c r="H35" s="121" t="n">
        <v>7</v>
      </c>
      <c r="I35" s="122" t="n">
        <v>1.4</v>
      </c>
      <c r="J35" s="121" t="n">
        <v>7</v>
      </c>
      <c r="K35" s="121" t="n">
        <v>110</v>
      </c>
      <c r="L35" s="123" t="n">
        <v>0.7</v>
      </c>
      <c r="M35" s="120" t="n">
        <v>24</v>
      </c>
      <c r="N35" s="124" t="n">
        <v>0.2</v>
      </c>
      <c r="O35" s="125" t="inlineStr">
        <is>
          <t>N</t>
        </is>
      </c>
      <c r="P35" s="120" t="inlineStr">
        <is>
          <t>N</t>
        </is>
      </c>
      <c r="Q35" s="108" t="inlineStr">
        <is>
          <t>Direct</t>
        </is>
      </c>
      <c r="R35" s="108" t="inlineStr">
        <is>
          <t>Went with Mizho Bank</t>
        </is>
      </c>
      <c r="S35" s="98" t="inlineStr">
        <is>
          <t>Westbrook Partners</t>
        </is>
      </c>
    </row>
    <row r="36" ht="12.75" customFormat="1" customHeight="1" s="98">
      <c r="A36" s="155" t="n">
        <v>45748</v>
      </c>
      <c r="B36" s="108" t="inlineStr">
        <is>
          <t>67 Marsh Lane Canary Wharf</t>
        </is>
      </c>
      <c r="C36" s="120" t="inlineStr">
        <is>
          <t>Resi</t>
        </is>
      </c>
      <c r="D36" s="108" t="inlineStr">
        <is>
          <t>Jasmine Sangma</t>
        </is>
      </c>
      <c r="E36" s="120" t="inlineStr">
        <is>
          <t>Senior</t>
        </is>
      </c>
      <c r="F36" s="120" t="inlineStr">
        <is>
          <t>Bridge</t>
        </is>
      </c>
      <c r="G36" s="120" t="inlineStr">
        <is>
          <t>A</t>
        </is>
      </c>
      <c r="H36" s="121" t="n">
        <v>1.65</v>
      </c>
      <c r="I36" s="122" t="n">
        <v>0.22</v>
      </c>
      <c r="J36" s="121" t="n">
        <v>1.65</v>
      </c>
      <c r="K36" s="121" t="n">
        <v>2.2</v>
      </c>
      <c r="L36" s="123">
        <f>J36/K36</f>
        <v/>
      </c>
      <c r="M36" s="120" t="n">
        <v>12</v>
      </c>
      <c r="N36" s="124" t="n">
        <v>0.144</v>
      </c>
      <c r="O36" s="125" t="inlineStr">
        <is>
          <t>N</t>
        </is>
      </c>
      <c r="P36" s="120" t="inlineStr">
        <is>
          <t>N</t>
        </is>
      </c>
      <c r="Q36" s="108" t="inlineStr">
        <is>
          <t>Broker</t>
        </is>
      </c>
      <c r="R36" s="108" t="n"/>
      <c r="S36" s="98" t="inlineStr">
        <is>
          <t>Darshan</t>
        </is>
      </c>
    </row>
    <row r="37" ht="12.75" customFormat="1" customHeight="1" s="98">
      <c r="A37" s="155" t="n">
        <v>45748</v>
      </c>
      <c r="B37" s="108" t="inlineStr">
        <is>
          <t>South Wodford</t>
        </is>
      </c>
      <c r="C37" s="120" t="inlineStr">
        <is>
          <t>Resi</t>
        </is>
      </c>
      <c r="D37" s="108" t="inlineStr">
        <is>
          <t>Aslam Patel</t>
        </is>
      </c>
      <c r="E37" s="120" t="inlineStr">
        <is>
          <t>Senior</t>
        </is>
      </c>
      <c r="F37" s="120" t="inlineStr">
        <is>
          <t>Bridge</t>
        </is>
      </c>
      <c r="G37" s="120" t="inlineStr">
        <is>
          <t>R</t>
        </is>
      </c>
      <c r="H37" s="121" t="n">
        <v>4.25</v>
      </c>
      <c r="I37" s="122" t="n">
        <v>0.715</v>
      </c>
      <c r="J37" s="121" t="n">
        <v>4.35</v>
      </c>
      <c r="K37" s="121" t="n">
        <v>7.7</v>
      </c>
      <c r="L37" s="123">
        <f>J37/K37</f>
        <v/>
      </c>
      <c r="M37" s="120" t="n">
        <v>18</v>
      </c>
      <c r="N37" s="124" t="n">
        <v>0.145</v>
      </c>
      <c r="O37" s="125" t="inlineStr">
        <is>
          <t>N</t>
        </is>
      </c>
      <c r="P37" s="120" t="inlineStr">
        <is>
          <t>N</t>
        </is>
      </c>
      <c r="Q37" s="108" t="inlineStr">
        <is>
          <t>Broker</t>
        </is>
      </c>
      <c r="R37" s="108" t="n"/>
      <c r="S37" s="98" t="inlineStr">
        <is>
          <t>Rick Mantra</t>
        </is>
      </c>
    </row>
    <row r="38" ht="12.75" customFormat="1" customHeight="1" s="98">
      <c r="A38" s="155" t="n">
        <v>45748</v>
      </c>
      <c r="B38" s="108" t="inlineStr">
        <is>
          <t>76-80 Southwark Street</t>
        </is>
      </c>
      <c r="C38" s="120" t="inlineStr">
        <is>
          <t>Office</t>
        </is>
      </c>
      <c r="D38" s="108" t="inlineStr">
        <is>
          <t>Bhav Radia</t>
        </is>
      </c>
      <c r="E38" s="120" t="inlineStr">
        <is>
          <t>Senior</t>
        </is>
      </c>
      <c r="F38" s="120" t="inlineStr">
        <is>
          <t>Bridge</t>
        </is>
      </c>
      <c r="G38" s="120" t="inlineStr">
        <is>
          <t>A</t>
        </is>
      </c>
      <c r="H38" s="121" t="n">
        <v>11.06</v>
      </c>
      <c r="I38" s="122" t="n">
        <v>1.85</v>
      </c>
      <c r="J38" s="121">
        <f>H38</f>
        <v/>
      </c>
      <c r="K38" s="121" t="n">
        <v>14.75</v>
      </c>
      <c r="L38" s="123">
        <f>J38/K38</f>
        <v/>
      </c>
      <c r="M38" s="120" t="n">
        <v>15</v>
      </c>
      <c r="N38" s="124" t="n">
        <v>0.142</v>
      </c>
      <c r="O38" s="125" t="inlineStr">
        <is>
          <t>N</t>
        </is>
      </c>
      <c r="P38" s="120" t="inlineStr">
        <is>
          <t>N</t>
        </is>
      </c>
      <c r="Q38" s="108" t="inlineStr">
        <is>
          <t>Direct</t>
        </is>
      </c>
      <c r="R38" s="108" t="n"/>
    </row>
    <row r="39" ht="12.75" customFormat="1" customHeight="1" s="98">
      <c r="A39" s="155" t="n">
        <v>45748</v>
      </c>
      <c r="B39" s="108" t="inlineStr">
        <is>
          <t>Edridge Place Corydon</t>
        </is>
      </c>
      <c r="C39" s="120" t="inlineStr">
        <is>
          <t>Office</t>
        </is>
      </c>
      <c r="D39" s="108" t="inlineStr">
        <is>
          <t>Sarwar Khawaja</t>
        </is>
      </c>
      <c r="E39" s="120" t="inlineStr">
        <is>
          <t>Senior</t>
        </is>
      </c>
      <c r="F39" s="120" t="inlineStr">
        <is>
          <t>Bridge</t>
        </is>
      </c>
      <c r="G39" s="120" t="inlineStr">
        <is>
          <t>R</t>
        </is>
      </c>
      <c r="H39" s="121" t="n">
        <v>13.2</v>
      </c>
      <c r="I39" s="122" t="n">
        <v>1.82</v>
      </c>
      <c r="J39" s="121" t="n">
        <v>13.2</v>
      </c>
      <c r="K39" s="121" t="n">
        <v>22</v>
      </c>
      <c r="L39" s="123">
        <f>J39/K39</f>
        <v/>
      </c>
      <c r="M39" s="120" t="n">
        <v>12</v>
      </c>
      <c r="N39" s="124" t="n">
        <v>0.1471</v>
      </c>
      <c r="O39" s="125" t="inlineStr">
        <is>
          <t>N</t>
        </is>
      </c>
      <c r="P39" s="120" t="inlineStr">
        <is>
          <t>N</t>
        </is>
      </c>
      <c r="Q39" s="108" t="inlineStr">
        <is>
          <t>Broker</t>
        </is>
      </c>
      <c r="R39" s="108" t="n"/>
      <c r="S39" s="98" t="inlineStr">
        <is>
          <t>Garv</t>
        </is>
      </c>
    </row>
    <row r="40" ht="12.75" customFormat="1" customHeight="1" s="98">
      <c r="A40" s="155" t="n">
        <v>45748</v>
      </c>
      <c r="B40" s="108" t="inlineStr">
        <is>
          <t>Edridge Place Corydon</t>
        </is>
      </c>
      <c r="C40" s="120" t="inlineStr">
        <is>
          <t>Office</t>
        </is>
      </c>
      <c r="D40" s="108" t="inlineStr">
        <is>
          <t>Sarwar Khawaja</t>
        </is>
      </c>
      <c r="E40" s="120" t="inlineStr">
        <is>
          <t>Senior</t>
        </is>
      </c>
      <c r="F40" s="120" t="inlineStr">
        <is>
          <t>Bridge</t>
        </is>
      </c>
      <c r="G40" s="120" t="inlineStr">
        <is>
          <t>R</t>
        </is>
      </c>
      <c r="H40" s="121" t="n">
        <v>13.2</v>
      </c>
      <c r="I40" s="122" t="n">
        <v>1.82</v>
      </c>
      <c r="J40" s="121" t="n">
        <v>13.2</v>
      </c>
      <c r="K40" s="121" t="n">
        <v>22</v>
      </c>
      <c r="L40" s="123">
        <f>J40/K40</f>
        <v/>
      </c>
      <c r="M40" s="120" t="n">
        <v>12</v>
      </c>
      <c r="N40" s="124" t="n">
        <v>0.1471</v>
      </c>
      <c r="O40" s="125" t="inlineStr">
        <is>
          <t>N</t>
        </is>
      </c>
      <c r="P40" s="120" t="inlineStr">
        <is>
          <t>N</t>
        </is>
      </c>
      <c r="Q40" s="108" t="inlineStr">
        <is>
          <t>Broker</t>
        </is>
      </c>
      <c r="R40" s="108" t="n"/>
      <c r="S40" s="98" t="inlineStr">
        <is>
          <t>Garv</t>
        </is>
      </c>
    </row>
    <row r="41" ht="12.75" customFormat="1" customHeight="1" s="98">
      <c r="A41" s="155" t="n">
        <v>45772</v>
      </c>
      <c r="B41" s="156" t="inlineStr">
        <is>
          <t>Malton Road Industrial Estate</t>
        </is>
      </c>
      <c r="C41" s="120" t="inlineStr">
        <is>
          <t>Industrial</t>
        </is>
      </c>
      <c r="D41" s="108" t="inlineStr">
        <is>
          <t xml:space="preserve">Malton Road Developments </t>
        </is>
      </c>
      <c r="E41" s="120" t="inlineStr">
        <is>
          <t>Senior</t>
        </is>
      </c>
      <c r="F41" s="120" t="inlineStr">
        <is>
          <t>Bridge</t>
        </is>
      </c>
      <c r="G41" s="120" t="inlineStr">
        <is>
          <t>R</t>
        </is>
      </c>
      <c r="H41" s="121" t="n">
        <v>4.8</v>
      </c>
      <c r="I41" s="122" t="n">
        <v>0.38</v>
      </c>
      <c r="J41" s="121" t="n">
        <v>4.8</v>
      </c>
      <c r="K41" s="121" t="n">
        <v>7.4</v>
      </c>
      <c r="L41" s="123">
        <f>J41/K41</f>
        <v/>
      </c>
      <c r="M41" s="120" t="n">
        <v>6</v>
      </c>
      <c r="N41" s="124" t="n">
        <v>0.1506</v>
      </c>
      <c r="O41" s="125" t="inlineStr">
        <is>
          <t>N</t>
        </is>
      </c>
      <c r="P41" s="120" t="inlineStr">
        <is>
          <t>N</t>
        </is>
      </c>
      <c r="Q41" s="108" t="inlineStr">
        <is>
          <t>Broker</t>
        </is>
      </c>
      <c r="R41" s="108" t="n"/>
      <c r="S41" s="98" t="inlineStr">
        <is>
          <t>Lionel B refereral</t>
        </is>
      </c>
    </row>
    <row r="42" ht="15" customFormat="1" customHeight="1" s="98">
      <c r="A42" s="155" t="n">
        <v>45778</v>
      </c>
      <c r="B42" s="108" t="inlineStr">
        <is>
          <t>67 Marsh Lane Canary Wharf</t>
        </is>
      </c>
      <c r="C42" s="120" t="inlineStr">
        <is>
          <t>Resi</t>
        </is>
      </c>
      <c r="D42" s="108" t="inlineStr">
        <is>
          <t>Mrs Jasmine Sangama</t>
        </is>
      </c>
      <c r="E42" s="120" t="inlineStr">
        <is>
          <t>Senior</t>
        </is>
      </c>
      <c r="F42" s="120" t="inlineStr">
        <is>
          <t>Bridge</t>
        </is>
      </c>
      <c r="G42" s="120" t="inlineStr">
        <is>
          <t>A</t>
        </is>
      </c>
      <c r="H42" s="121" t="n">
        <v>1.65</v>
      </c>
      <c r="I42" s="122" t="n">
        <v>0.22</v>
      </c>
      <c r="J42" s="121" t="n">
        <v>1.65</v>
      </c>
      <c r="K42" s="121" t="n">
        <v>2.2</v>
      </c>
      <c r="L42" s="123">
        <f>J42/K42</f>
        <v/>
      </c>
      <c r="M42" s="120" t="n">
        <v>12</v>
      </c>
      <c r="N42" s="124" t="n">
        <v>0.1443</v>
      </c>
      <c r="O42" s="125" t="inlineStr">
        <is>
          <t>Y</t>
        </is>
      </c>
      <c r="P42" s="120" t="inlineStr">
        <is>
          <t>Y</t>
        </is>
      </c>
      <c r="Q42" s="108" t="inlineStr">
        <is>
          <t>Broker</t>
        </is>
      </c>
      <c r="R42" s="108" t="inlineStr">
        <is>
          <t>Sponsor PEP Concerns - declined</t>
        </is>
      </c>
    </row>
    <row r="43" ht="12.75" customFormat="1" customHeight="1" s="98">
      <c r="A43" s="155" t="n">
        <v>45748</v>
      </c>
      <c r="B43" s="108" t="inlineStr">
        <is>
          <t>One Croydon</t>
        </is>
      </c>
      <c r="C43" s="120" t="inlineStr">
        <is>
          <t>Resi</t>
        </is>
      </c>
      <c r="D43" s="108" t="inlineStr">
        <is>
          <t>BHA Construction</t>
        </is>
      </c>
      <c r="E43" s="120" t="inlineStr">
        <is>
          <t>Senior</t>
        </is>
      </c>
      <c r="F43" s="120" t="inlineStr">
        <is>
          <t>Bridge</t>
        </is>
      </c>
      <c r="G43" s="120" t="inlineStr">
        <is>
          <t>A</t>
        </is>
      </c>
      <c r="H43" s="121" t="n">
        <v>11.8</v>
      </c>
      <c r="I43" s="122" t="n">
        <v>1.65</v>
      </c>
      <c r="J43" s="121" t="n">
        <v>11.8</v>
      </c>
      <c r="K43" s="121" t="n">
        <v>18.2</v>
      </c>
      <c r="L43" s="123">
        <f>J43/K43</f>
        <v/>
      </c>
      <c r="M43" s="120" t="n">
        <v>12</v>
      </c>
      <c r="N43" s="124" t="n">
        <v>0.15</v>
      </c>
      <c r="O43" s="125" t="inlineStr">
        <is>
          <t>Y</t>
        </is>
      </c>
      <c r="P43" s="120" t="inlineStr">
        <is>
          <t>N</t>
        </is>
      </c>
      <c r="Q43" s="108" t="inlineStr">
        <is>
          <t>Broker</t>
        </is>
      </c>
      <c r="R43" s="108" t="inlineStr">
        <is>
          <t>Went with Blue Shield</t>
        </is>
      </c>
      <c r="S43" s="98" t="inlineStr">
        <is>
          <t>Jay Bohgal</t>
        </is>
      </c>
    </row>
    <row r="44" ht="12.75" customFormat="1" customHeight="1" s="98">
      <c r="A44" s="155" t="n">
        <v>45748</v>
      </c>
      <c r="B44" s="108" t="inlineStr">
        <is>
          <t>271 Sanderston Road Croydon</t>
        </is>
      </c>
      <c r="C44" s="120" t="inlineStr">
        <is>
          <t>Resi</t>
        </is>
      </c>
      <c r="D44" s="108" t="inlineStr">
        <is>
          <t>Artistics Homes Limited</t>
        </is>
      </c>
      <c r="E44" s="120" t="inlineStr">
        <is>
          <t>Senior</t>
        </is>
      </c>
      <c r="F44" s="120" t="inlineStr">
        <is>
          <t>Bridge</t>
        </is>
      </c>
      <c r="G44" s="120" t="inlineStr">
        <is>
          <t>R</t>
        </is>
      </c>
      <c r="H44" s="121" t="n">
        <v>3.75</v>
      </c>
      <c r="I44" s="122" t="n">
        <v>0.26</v>
      </c>
      <c r="J44" s="121" t="n">
        <v>3.75</v>
      </c>
      <c r="K44" s="121" t="n">
        <v>5.36</v>
      </c>
      <c r="L44" s="123">
        <f>J44/K44</f>
        <v/>
      </c>
      <c r="M44" s="120" t="n">
        <v>6</v>
      </c>
      <c r="N44" s="124" t="n">
        <v>0.15</v>
      </c>
      <c r="O44" s="125" t="inlineStr">
        <is>
          <t>N</t>
        </is>
      </c>
      <c r="P44" s="120" t="inlineStr">
        <is>
          <t>N</t>
        </is>
      </c>
      <c r="Q44" s="108" t="inlineStr">
        <is>
          <t>Broker</t>
        </is>
      </c>
      <c r="R44" s="108" t="inlineStr">
        <is>
          <t>went dead</t>
        </is>
      </c>
      <c r="S44" s="98" t="inlineStr">
        <is>
          <t>Bhavik</t>
        </is>
      </c>
    </row>
    <row r="45" ht="12.75" customFormat="1" customHeight="1" s="98">
      <c r="A45" s="155" t="n">
        <v>45748</v>
      </c>
      <c r="B45" s="108" t="inlineStr">
        <is>
          <t>Wexham Springs</t>
        </is>
      </c>
      <c r="C45" s="120" t="inlineStr">
        <is>
          <t>Office</t>
        </is>
      </c>
      <c r="D45" s="108" t="inlineStr">
        <is>
          <t>Rednapp Family</t>
        </is>
      </c>
      <c r="E45" s="120" t="inlineStr">
        <is>
          <t>Senior</t>
        </is>
      </c>
      <c r="F45" s="120" t="inlineStr">
        <is>
          <t>Bridge</t>
        </is>
      </c>
      <c r="G45" s="120" t="inlineStr">
        <is>
          <t>A</t>
        </is>
      </c>
      <c r="H45" s="121" t="n">
        <v>15.73</v>
      </c>
      <c r="I45" s="122" t="n">
        <v>2.91</v>
      </c>
      <c r="J45" s="121" t="n">
        <v>15.73</v>
      </c>
      <c r="K45" s="121" t="n">
        <v>24.2</v>
      </c>
      <c r="L45" s="123">
        <f>J45/K45</f>
        <v/>
      </c>
      <c r="M45" s="120" t="n">
        <v>18</v>
      </c>
      <c r="N45" s="124" t="n">
        <v>0.13</v>
      </c>
      <c r="O45" s="125" t="inlineStr">
        <is>
          <t>N</t>
        </is>
      </c>
      <c r="P45" s="120" t="inlineStr">
        <is>
          <t>N</t>
        </is>
      </c>
      <c r="Q45" s="108" t="inlineStr">
        <is>
          <t>Direct</t>
        </is>
      </c>
      <c r="R45" s="108" t="inlineStr">
        <is>
          <t>On Hold</t>
        </is>
      </c>
      <c r="S45" s="98" t="inlineStr">
        <is>
          <t>Deepesh Oak North</t>
        </is>
      </c>
    </row>
    <row r="46" ht="25.5" customFormat="1" customHeight="1" s="98">
      <c r="A46" s="155" t="n">
        <v>45772</v>
      </c>
      <c r="B46" s="180" t="inlineStr">
        <is>
          <t>Flat 11 2-3 Ladbroke Square</t>
        </is>
      </c>
      <c r="C46" s="120" t="inlineStr">
        <is>
          <t>Resi</t>
        </is>
      </c>
      <c r="D46" s="108" t="inlineStr">
        <is>
          <t>HNW</t>
        </is>
      </c>
      <c r="E46" s="120" t="inlineStr">
        <is>
          <t>Senior</t>
        </is>
      </c>
      <c r="F46" s="120" t="inlineStr">
        <is>
          <t>Bridge</t>
        </is>
      </c>
      <c r="G46" s="120" t="inlineStr">
        <is>
          <t>R</t>
        </is>
      </c>
      <c r="H46" s="121" t="n">
        <v>1.125</v>
      </c>
      <c r="I46" s="122" t="n">
        <v>0.118</v>
      </c>
      <c r="J46" s="121" t="n">
        <v>1.125</v>
      </c>
      <c r="K46" s="121" t="n">
        <v>1.5</v>
      </c>
      <c r="L46" s="123">
        <f>J46/K46</f>
        <v/>
      </c>
      <c r="M46" s="120" t="n">
        <v>9</v>
      </c>
      <c r="N46" s="124" t="n">
        <v>0.1489</v>
      </c>
      <c r="O46" s="125" t="inlineStr">
        <is>
          <t>N</t>
        </is>
      </c>
      <c r="P46" s="120" t="inlineStr">
        <is>
          <t>N</t>
        </is>
      </c>
      <c r="Q46" s="108" t="inlineStr">
        <is>
          <t>Broker</t>
        </is>
      </c>
      <c r="R46" s="108" t="n"/>
    </row>
    <row r="47" ht="12.75" customFormat="1" customHeight="1" s="98">
      <c r="A47" s="155" t="n">
        <v>45778</v>
      </c>
      <c r="B47" s="108" t="inlineStr">
        <is>
          <t xml:space="preserve">77 Walton Street Limited &amp; 87-89 Walton Street </t>
        </is>
      </c>
      <c r="C47" s="120" t="inlineStr">
        <is>
          <t>Retail</t>
        </is>
      </c>
      <c r="D47" s="108" t="inlineStr">
        <is>
          <t>Walton St Ltd</t>
        </is>
      </c>
      <c r="E47" s="120" t="inlineStr">
        <is>
          <t>Senior</t>
        </is>
      </c>
      <c r="F47" s="120" t="inlineStr">
        <is>
          <t>Bridge</t>
        </is>
      </c>
      <c r="G47" s="120" t="inlineStr">
        <is>
          <t>R</t>
        </is>
      </c>
      <c r="H47" s="121" t="n">
        <v>9</v>
      </c>
      <c r="I47" s="122" t="n">
        <v>0.41</v>
      </c>
      <c r="J47" s="121" t="n">
        <v>9</v>
      </c>
      <c r="K47" s="121" t="n">
        <v>16</v>
      </c>
      <c r="L47" s="123">
        <f>J47/K47</f>
        <v/>
      </c>
      <c r="M47" s="120" t="n">
        <v>12</v>
      </c>
      <c r="N47" s="124" t="n">
        <v>0.1985</v>
      </c>
      <c r="O47" s="125" t="inlineStr">
        <is>
          <t>N</t>
        </is>
      </c>
      <c r="P47" s="120" t="inlineStr">
        <is>
          <t>N</t>
        </is>
      </c>
      <c r="Q47" s="108" t="inlineStr">
        <is>
          <t>Broker</t>
        </is>
      </c>
      <c r="R47" s="108" t="n"/>
    </row>
    <row r="48" ht="12.75" customFormat="1" customHeight="1" s="98">
      <c r="A48" s="155" t="n">
        <v>45809</v>
      </c>
      <c r="B48" s="108" t="inlineStr">
        <is>
          <t>Loveday Healthcare London Portfolio</t>
        </is>
      </c>
      <c r="C48" s="120" t="inlineStr">
        <is>
          <t>Care</t>
        </is>
      </c>
      <c r="D48" s="108" t="inlineStr">
        <is>
          <t>Loveday</t>
        </is>
      </c>
      <c r="E48" s="120" t="inlineStr">
        <is>
          <t>Senior</t>
        </is>
      </c>
      <c r="F48" s="120" t="inlineStr">
        <is>
          <t>Bridge</t>
        </is>
      </c>
      <c r="G48" s="120" t="inlineStr">
        <is>
          <t>A</t>
        </is>
      </c>
      <c r="H48" s="121" t="n">
        <v>58</v>
      </c>
      <c r="I48" s="122" t="n"/>
      <c r="J48" s="121" t="n">
        <v>58</v>
      </c>
      <c r="K48" s="121" t="n">
        <v>76.58</v>
      </c>
      <c r="L48" s="123">
        <f>J48/K48</f>
        <v/>
      </c>
      <c r="M48" s="120" t="n">
        <v>24</v>
      </c>
      <c r="N48" s="124" t="n"/>
      <c r="O48" s="125" t="inlineStr">
        <is>
          <t>N</t>
        </is>
      </c>
      <c r="P48" s="120" t="inlineStr">
        <is>
          <t>N</t>
        </is>
      </c>
      <c r="Q48" s="108" t="inlineStr">
        <is>
          <t>Broker</t>
        </is>
      </c>
      <c r="R48" s="108" t="n"/>
      <c r="S48" s="98" t="inlineStr">
        <is>
          <t>Mutual Finance</t>
        </is>
      </c>
    </row>
    <row r="49" ht="12.75" customFormat="1" customHeight="1" s="98">
      <c r="A49" s="155" t="n">
        <v>45809</v>
      </c>
      <c r="B49" s="108" t="inlineStr">
        <is>
          <t>Carlton Bay Cornwall</t>
        </is>
      </c>
      <c r="C49" s="120" t="inlineStr">
        <is>
          <t>Land with Planning</t>
        </is>
      </c>
      <c r="D49" s="108" t="inlineStr">
        <is>
          <t>CEG Group</t>
        </is>
      </c>
      <c r="E49" s="120" t="inlineStr">
        <is>
          <t>Senior</t>
        </is>
      </c>
      <c r="F49" s="120" t="inlineStr">
        <is>
          <t>Bridge</t>
        </is>
      </c>
      <c r="G49" s="120" t="inlineStr">
        <is>
          <t>R</t>
        </is>
      </c>
      <c r="H49" s="121" t="n">
        <v>14</v>
      </c>
      <c r="I49" s="122" t="n">
        <v>2.95</v>
      </c>
      <c r="J49" s="121" t="n">
        <v>14</v>
      </c>
      <c r="K49" s="121" t="n">
        <v>41</v>
      </c>
      <c r="L49" s="123">
        <f>J49/K49</f>
        <v/>
      </c>
      <c r="M49" s="120" t="n">
        <v>18</v>
      </c>
      <c r="N49" s="124" t="n">
        <v>0.1495</v>
      </c>
      <c r="O49" s="125" t="inlineStr">
        <is>
          <t>N</t>
        </is>
      </c>
      <c r="P49" s="120" t="inlineStr">
        <is>
          <t>N</t>
        </is>
      </c>
      <c r="Q49" s="108" t="inlineStr">
        <is>
          <t xml:space="preserve">Broker </t>
        </is>
      </c>
      <c r="R49" s="108" t="inlineStr">
        <is>
          <t>Reviewing</t>
        </is>
      </c>
    </row>
    <row r="50" ht="12.75" customFormat="1" customHeight="1" s="98">
      <c r="A50" s="155" t="n">
        <v>45809</v>
      </c>
      <c r="B50" s="108" t="inlineStr">
        <is>
          <t>1 Centenary Way, Manchester</t>
        </is>
      </c>
      <c r="C50" s="120" t="inlineStr">
        <is>
          <t>Office</t>
        </is>
      </c>
      <c r="D50" s="108" t="inlineStr">
        <is>
          <t>Blacksand</t>
        </is>
      </c>
      <c r="E50" s="120" t="inlineStr">
        <is>
          <t>Senior</t>
        </is>
      </c>
      <c r="F50" s="120" t="inlineStr">
        <is>
          <t>Bridge</t>
        </is>
      </c>
      <c r="G50" s="120" t="inlineStr">
        <is>
          <t>R</t>
        </is>
      </c>
      <c r="H50" s="121" t="n">
        <v>3</v>
      </c>
      <c r="I50" s="122" t="n">
        <v>0.140625</v>
      </c>
      <c r="J50" s="121" t="n">
        <v>3</v>
      </c>
      <c r="K50" s="121" t="n">
        <v>6</v>
      </c>
      <c r="L50" s="123">
        <f>J50/K50</f>
        <v/>
      </c>
      <c r="M50" s="120" t="n">
        <v>12</v>
      </c>
      <c r="N50" s="124" t="n">
        <v>0.2025</v>
      </c>
      <c r="O50" s="125" t="inlineStr">
        <is>
          <t>N</t>
        </is>
      </c>
      <c r="P50" s="120" t="inlineStr">
        <is>
          <t>N</t>
        </is>
      </c>
      <c r="Q50" s="108" t="inlineStr">
        <is>
          <t>Broker</t>
        </is>
      </c>
      <c r="R50" s="108" t="inlineStr">
        <is>
          <t>Reviewing</t>
        </is>
      </c>
    </row>
    <row r="51" ht="15" customFormat="1" customHeight="1" s="98">
      <c r="A51" s="181" t="n">
        <v>45901</v>
      </c>
      <c r="B51" s="108" t="inlineStr">
        <is>
          <t>Blenheim Industrial Estate (Nottingham)</t>
        </is>
      </c>
      <c r="C51" s="120" t="inlineStr">
        <is>
          <t>Office</t>
        </is>
      </c>
      <c r="D51" s="108" t="inlineStr">
        <is>
          <t>Rotherhill</t>
        </is>
      </c>
      <c r="E51" s="120" t="inlineStr">
        <is>
          <t>Senior</t>
        </is>
      </c>
      <c r="F51" s="120" t="inlineStr">
        <is>
          <t>Bridge</t>
        </is>
      </c>
      <c r="G51" s="120" t="inlineStr">
        <is>
          <t>A</t>
        </is>
      </c>
      <c r="H51" s="121" t="n">
        <v>2.9</v>
      </c>
      <c r="I51" s="122" t="n"/>
      <c r="J51" s="121" t="n">
        <v>2.9</v>
      </c>
      <c r="K51" s="121" t="n">
        <v>4.375</v>
      </c>
      <c r="L51" s="123">
        <f>J51/K51</f>
        <v/>
      </c>
      <c r="M51" s="120" t="n">
        <v>17</v>
      </c>
      <c r="N51" s="124" t="n"/>
      <c r="O51" s="125" t="inlineStr">
        <is>
          <t>N</t>
        </is>
      </c>
      <c r="P51" s="120" t="inlineStr">
        <is>
          <t>N</t>
        </is>
      </c>
      <c r="Q51" s="108" t="inlineStr">
        <is>
          <t>Broker</t>
        </is>
      </c>
      <c r="R51" s="108" t="inlineStr">
        <is>
          <t>Gone to Topland</t>
        </is>
      </c>
      <c r="S51" s="98" t="inlineStr">
        <is>
          <t>Charles Irvine</t>
        </is>
      </c>
    </row>
    <row r="52" ht="12.75" customFormat="1" customHeight="1" s="98">
      <c r="A52" s="181" t="n">
        <v>45901</v>
      </c>
      <c r="B52" s="108" t="inlineStr">
        <is>
          <t>Property Portfolio</t>
        </is>
      </c>
      <c r="C52" s="120" t="inlineStr">
        <is>
          <t>Resi/ Retail</t>
        </is>
      </c>
      <c r="D52" s="108" t="inlineStr">
        <is>
          <t>Tribeca Holdings</t>
        </is>
      </c>
      <c r="E52" s="120" t="inlineStr">
        <is>
          <t>Mezz</t>
        </is>
      </c>
      <c r="F52" s="120" t="inlineStr">
        <is>
          <t>Bridge</t>
        </is>
      </c>
      <c r="G52" s="120" t="inlineStr">
        <is>
          <t>A</t>
        </is>
      </c>
      <c r="H52" s="121" t="n">
        <v>35.5</v>
      </c>
      <c r="I52" s="122" t="n">
        <v>1.02</v>
      </c>
      <c r="J52" s="121" t="n">
        <v>35.5</v>
      </c>
      <c r="K52" s="121" t="n">
        <v>50</v>
      </c>
      <c r="L52" s="123">
        <f>J52/K52</f>
        <v/>
      </c>
      <c r="M52" s="120" t="n">
        <v>18</v>
      </c>
      <c r="N52" s="124" t="n">
        <v>0.1096</v>
      </c>
      <c r="O52" s="125" t="inlineStr">
        <is>
          <t>N</t>
        </is>
      </c>
      <c r="P52" s="120" t="inlineStr">
        <is>
          <t>N</t>
        </is>
      </c>
      <c r="Q52" s="108" t="inlineStr">
        <is>
          <t>Broker</t>
        </is>
      </c>
      <c r="R52" s="108" t="inlineStr">
        <is>
          <t>Reviewing</t>
        </is>
      </c>
    </row>
    <row r="53" ht="12.75" customFormat="1" customHeight="1" s="98">
      <c r="A53" s="181" t="n">
        <v>45901</v>
      </c>
      <c r="B53" s="108" t="inlineStr">
        <is>
          <t>Maroush Group (London)</t>
        </is>
      </c>
      <c r="C53" s="120" t="inlineStr">
        <is>
          <t>Retail</t>
        </is>
      </c>
      <c r="D53" s="108" t="inlineStr">
        <is>
          <t>Maroush Property Group</t>
        </is>
      </c>
      <c r="E53" s="120" t="inlineStr">
        <is>
          <t>Mezz</t>
        </is>
      </c>
      <c r="F53" s="120" t="inlineStr">
        <is>
          <t>Bridge</t>
        </is>
      </c>
      <c r="G53" s="120" t="inlineStr">
        <is>
          <t>R</t>
        </is>
      </c>
      <c r="H53" s="121" t="n">
        <v>25.6</v>
      </c>
      <c r="I53" s="122" t="n">
        <v>0.845</v>
      </c>
      <c r="J53" s="121" t="n">
        <v>25.6</v>
      </c>
      <c r="K53" s="121" t="n">
        <v>38.175</v>
      </c>
      <c r="L53" s="123">
        <f>J53/K53</f>
        <v/>
      </c>
      <c r="M53" s="120" t="n">
        <v>12</v>
      </c>
      <c r="N53" s="124" t="n">
        <v>0.1358</v>
      </c>
      <c r="O53" s="125" t="inlineStr">
        <is>
          <t>N</t>
        </is>
      </c>
      <c r="P53" s="120" t="inlineStr">
        <is>
          <t>N</t>
        </is>
      </c>
      <c r="Q53" s="108" t="inlineStr">
        <is>
          <t>Broker</t>
        </is>
      </c>
      <c r="R53" s="108" t="inlineStr">
        <is>
          <t>Reviewing</t>
        </is>
      </c>
    </row>
    <row r="54" ht="12.75" customFormat="1" customHeight="1" s="98">
      <c r="A54" s="181" t="n">
        <v>45931</v>
      </c>
      <c r="B54" s="108" t="inlineStr">
        <is>
          <t>Watford Juction</t>
        </is>
      </c>
      <c r="C54" s="120" t="inlineStr">
        <is>
          <t>Residential</t>
        </is>
      </c>
      <c r="D54" s="108" t="inlineStr">
        <is>
          <t>Ceri Jones</t>
        </is>
      </c>
      <c r="E54" s="120" t="inlineStr">
        <is>
          <t>Senior or Mezz</t>
        </is>
      </c>
      <c r="F54" s="120" t="inlineStr">
        <is>
          <t>Bridge</t>
        </is>
      </c>
      <c r="G54" s="120" t="inlineStr">
        <is>
          <t>A</t>
        </is>
      </c>
      <c r="H54" s="121" t="n">
        <v>5.5</v>
      </c>
      <c r="I54" s="122" t="n">
        <v>0.742</v>
      </c>
      <c r="J54" s="121" t="n">
        <v>5.5</v>
      </c>
      <c r="K54" s="121" t="n">
        <v>12</v>
      </c>
      <c r="L54" s="123">
        <f>J54/K54</f>
        <v/>
      </c>
      <c r="M54" s="120" t="n">
        <v>12</v>
      </c>
      <c r="N54" s="124" t="n">
        <v>0.1443</v>
      </c>
      <c r="O54" s="125" t="inlineStr">
        <is>
          <t>N</t>
        </is>
      </c>
      <c r="P54" s="120" t="inlineStr">
        <is>
          <t>N</t>
        </is>
      </c>
      <c r="Q54" s="108" t="inlineStr">
        <is>
          <t>Broker</t>
        </is>
      </c>
      <c r="R54" s="108" t="inlineStr">
        <is>
          <t>Reviewing</t>
        </is>
      </c>
    </row>
    <row r="55" ht="12.75" customFormat="1" customHeight="1" s="98">
      <c r="A55" s="181" t="n">
        <v>45931</v>
      </c>
      <c r="B55" s="108" t="inlineStr">
        <is>
          <t>Burn Bullock Pub, 315 London Road, Mitcham</t>
        </is>
      </c>
      <c r="C55" s="120" t="inlineStr">
        <is>
          <t>Retail</t>
        </is>
      </c>
      <c r="D55" s="108" t="inlineStr">
        <is>
          <t>Target Healthcare REIT PLC</t>
        </is>
      </c>
      <c r="E55" s="120" t="inlineStr">
        <is>
          <t>Senior</t>
        </is>
      </c>
      <c r="F55" s="120" t="inlineStr">
        <is>
          <t>Bridge</t>
        </is>
      </c>
      <c r="G55" s="120" t="inlineStr">
        <is>
          <t>A</t>
        </is>
      </c>
      <c r="H55" s="121" t="n">
        <v>1.15</v>
      </c>
      <c r="I55" s="122" t="n">
        <v>0.155</v>
      </c>
      <c r="J55" s="121" t="n">
        <v>1.15</v>
      </c>
      <c r="K55" s="121" t="n">
        <v>2</v>
      </c>
      <c r="L55" s="123">
        <f>J55/K55</f>
        <v/>
      </c>
      <c r="M55" s="120" t="n">
        <v>12</v>
      </c>
      <c r="N55" s="124" t="n">
        <v>0.1443</v>
      </c>
      <c r="O55" s="125" t="inlineStr">
        <is>
          <t>N</t>
        </is>
      </c>
      <c r="P55" s="120" t="inlineStr">
        <is>
          <t>N</t>
        </is>
      </c>
      <c r="Q55" s="108" t="inlineStr">
        <is>
          <t>Broker</t>
        </is>
      </c>
      <c r="R55" s="108" t="inlineStr">
        <is>
          <t>Reviewing</t>
        </is>
      </c>
    </row>
    <row r="56" ht="12.75" customFormat="1" customHeight="1" s="98">
      <c r="A56" s="181" t="n">
        <v>45931</v>
      </c>
      <c r="B56" s="157" t="inlineStr">
        <is>
          <t>Forest Gate, East London</t>
        </is>
      </c>
      <c r="C56" s="120" t="inlineStr">
        <is>
          <t>Residential</t>
        </is>
      </c>
      <c r="D56" s="108" t="inlineStr">
        <is>
          <t>Rajpal Rathor</t>
        </is>
      </c>
      <c r="E56" s="120" t="inlineStr">
        <is>
          <t>Senior</t>
        </is>
      </c>
      <c r="F56" s="120" t="inlineStr">
        <is>
          <t>Bridge</t>
        </is>
      </c>
      <c r="G56" s="120" t="inlineStr">
        <is>
          <t>A</t>
        </is>
      </c>
      <c r="H56" s="121" t="n">
        <v>1.9</v>
      </c>
      <c r="I56" s="122" t="n">
        <v>0.207</v>
      </c>
      <c r="J56" s="121" t="n">
        <v>1.9</v>
      </c>
      <c r="K56" s="121" t="n">
        <v>3.1</v>
      </c>
      <c r="L56" s="123">
        <f>J56/K56</f>
        <v/>
      </c>
      <c r="M56" s="120" t="n">
        <v>11</v>
      </c>
      <c r="N56" s="124" t="n">
        <v>0.153</v>
      </c>
      <c r="O56" s="125" t="inlineStr">
        <is>
          <t>Y</t>
        </is>
      </c>
      <c r="P56" s="120" t="inlineStr">
        <is>
          <t>N</t>
        </is>
      </c>
      <c r="Q56" s="108" t="inlineStr">
        <is>
          <t>Direct</t>
        </is>
      </c>
      <c r="R56" s="108" t="inlineStr">
        <is>
          <t>Declined after site visit</t>
        </is>
      </c>
    </row>
    <row r="57" ht="12.75" customFormat="1" customHeight="1" s="98">
      <c r="A57" s="181" t="n">
        <v>45931</v>
      </c>
      <c r="B57" s="182" t="inlineStr">
        <is>
          <t>Audley Lingfield</t>
        </is>
      </c>
      <c r="C57" s="183" t="inlineStr">
        <is>
          <t>Residential</t>
        </is>
      </c>
      <c r="D57" s="184" t="inlineStr">
        <is>
          <t>Audley</t>
        </is>
      </c>
      <c r="E57" s="183" t="inlineStr">
        <is>
          <t>Senior</t>
        </is>
      </c>
      <c r="F57" s="183" t="inlineStr">
        <is>
          <t>Bridge</t>
        </is>
      </c>
      <c r="G57" s="183" t="inlineStr">
        <is>
          <t>A</t>
        </is>
      </c>
      <c r="H57" s="185" t="n">
        <v>4.8</v>
      </c>
      <c r="I57" s="186" t="n">
        <v>0.356</v>
      </c>
      <c r="J57" s="185" t="n">
        <v>4.8</v>
      </c>
      <c r="K57" s="185" t="n">
        <v>9.4</v>
      </c>
      <c r="L57" s="187">
        <f>J57/K57</f>
        <v/>
      </c>
      <c r="M57" s="183" t="n">
        <v>12</v>
      </c>
      <c r="N57" s="188" t="n">
        <v>0.1398</v>
      </c>
      <c r="O57" s="189" t="inlineStr">
        <is>
          <t>N</t>
        </is>
      </c>
      <c r="P57" s="183" t="inlineStr">
        <is>
          <t>N</t>
        </is>
      </c>
      <c r="Q57" s="184" t="inlineStr">
        <is>
          <t>Broker</t>
        </is>
      </c>
      <c r="R57" s="184" t="inlineStr">
        <is>
          <t xml:space="preserve">Reviewing </t>
        </is>
      </c>
    </row>
    <row r="58" ht="12.75" customFormat="1" customHeight="1" s="98">
      <c r="A58" s="181" t="n">
        <v>45931</v>
      </c>
      <c r="B58" s="182" t="inlineStr">
        <is>
          <t>Audley Cooper Hill</t>
        </is>
      </c>
      <c r="C58" s="183" t="inlineStr">
        <is>
          <t>Residential</t>
        </is>
      </c>
      <c r="D58" s="184" t="inlineStr">
        <is>
          <t>Audley</t>
        </is>
      </c>
      <c r="E58" s="183" t="inlineStr">
        <is>
          <t>Senior</t>
        </is>
      </c>
      <c r="F58" s="183" t="n"/>
      <c r="G58" s="183" t="n"/>
      <c r="H58" s="185" t="n">
        <v>16.75</v>
      </c>
      <c r="I58" s="186" t="n"/>
      <c r="J58" s="185" t="n">
        <v>16.75</v>
      </c>
      <c r="K58" s="185" t="n">
        <v>24</v>
      </c>
      <c r="L58" s="187">
        <f>J58/K58</f>
        <v/>
      </c>
      <c r="M58" s="183" t="n"/>
      <c r="N58" s="188" t="n"/>
      <c r="O58" s="189" t="n"/>
      <c r="P58" s="183" t="n"/>
      <c r="Q58" s="184" t="inlineStr">
        <is>
          <t>Broker</t>
        </is>
      </c>
      <c r="R58" s="184" t="inlineStr">
        <is>
          <t>Reviewing</t>
        </is>
      </c>
    </row>
    <row r="59" ht="12.75" customFormat="1" customHeight="1" s="98">
      <c r="A59" s="181" t="n">
        <v>45931</v>
      </c>
      <c r="B59" s="182" t="inlineStr">
        <is>
          <t>Hamstead/ St Johns Wood Residential Properties</t>
        </is>
      </c>
      <c r="C59" s="183" t="inlineStr">
        <is>
          <t>Residential</t>
        </is>
      </c>
      <c r="D59" s="184" t="n"/>
      <c r="E59" s="183" t="inlineStr">
        <is>
          <t>Mezz</t>
        </is>
      </c>
      <c r="F59" s="183" t="inlineStr">
        <is>
          <t>Bridge</t>
        </is>
      </c>
      <c r="G59" s="183" t="inlineStr">
        <is>
          <t>R</t>
        </is>
      </c>
      <c r="H59" s="185" t="n">
        <v>15.48</v>
      </c>
      <c r="I59" s="186" t="n">
        <v>0.506</v>
      </c>
      <c r="J59" s="185" t="n">
        <v>15.48</v>
      </c>
      <c r="K59" s="185" t="n">
        <v>21</v>
      </c>
      <c r="L59" s="187">
        <f>J59/K59</f>
        <v/>
      </c>
      <c r="M59" s="183" t="n">
        <v>9</v>
      </c>
      <c r="N59" s="188" t="n">
        <v>0.1464</v>
      </c>
      <c r="O59" s="189" t="inlineStr">
        <is>
          <t>N</t>
        </is>
      </c>
      <c r="P59" s="183" t="inlineStr">
        <is>
          <t>N</t>
        </is>
      </c>
      <c r="Q59" s="184" t="inlineStr">
        <is>
          <t>Broker</t>
        </is>
      </c>
      <c r="R59" s="184" t="inlineStr">
        <is>
          <t>Reviewing</t>
        </is>
      </c>
    </row>
    <row r="60" ht="12.75" customFormat="1" customHeight="1" s="98">
      <c r="A60" s="181" t="n">
        <v>45931</v>
      </c>
      <c r="B60" s="182" t="inlineStr">
        <is>
          <t>St John's Seminary, Wonersh</t>
        </is>
      </c>
      <c r="C60" s="183" t="inlineStr">
        <is>
          <t>Residential</t>
        </is>
      </c>
      <c r="D60" s="184" t="inlineStr">
        <is>
          <t>St John's Wonersh Limited</t>
        </is>
      </c>
      <c r="E60" s="183" t="inlineStr">
        <is>
          <t>Mezz</t>
        </is>
      </c>
      <c r="F60" s="183" t="inlineStr">
        <is>
          <t>Bridge</t>
        </is>
      </c>
      <c r="G60" s="183" t="inlineStr">
        <is>
          <t>R</t>
        </is>
      </c>
      <c r="H60" s="185" t="n">
        <v>10</v>
      </c>
      <c r="I60" s="186" t="n">
        <v>0.74</v>
      </c>
      <c r="J60" s="185" t="n">
        <v>10</v>
      </c>
      <c r="K60" s="185" t="n">
        <v>14</v>
      </c>
      <c r="L60" s="187">
        <f>J60/K60</f>
        <v/>
      </c>
      <c r="M60" s="183" t="n">
        <v>12</v>
      </c>
      <c r="N60" s="188" t="n">
        <v>0.1471</v>
      </c>
      <c r="O60" s="189" t="inlineStr">
        <is>
          <t>N</t>
        </is>
      </c>
      <c r="P60" s="183" t="inlineStr">
        <is>
          <t>N</t>
        </is>
      </c>
      <c r="Q60" s="184" t="inlineStr">
        <is>
          <t>Broker</t>
        </is>
      </c>
      <c r="R60" s="184" t="inlineStr">
        <is>
          <t>Reviewing</t>
        </is>
      </c>
    </row>
    <row r="61" ht="12.75" customFormat="1" customHeight="1" s="98">
      <c r="A61" s="181" t="n">
        <v>45931</v>
      </c>
      <c r="B61" s="182" t="inlineStr">
        <is>
          <t>188 Wilmslow Road</t>
        </is>
      </c>
      <c r="C61" s="183" t="inlineStr">
        <is>
          <t>Office</t>
        </is>
      </c>
      <c r="D61" s="184" t="n"/>
      <c r="E61" s="183" t="inlineStr">
        <is>
          <t>Senior</t>
        </is>
      </c>
      <c r="F61" s="183" t="inlineStr">
        <is>
          <t>Bridge</t>
        </is>
      </c>
      <c r="G61" s="183" t="inlineStr">
        <is>
          <t>R</t>
        </is>
      </c>
      <c r="H61" s="185" t="n">
        <v>3.7</v>
      </c>
      <c r="I61" s="186" t="n">
        <v>0.3</v>
      </c>
      <c r="J61" s="185" t="n">
        <v>3.7</v>
      </c>
      <c r="K61" s="185" t="n">
        <v>5.45</v>
      </c>
      <c r="L61" s="187">
        <f>J61/K61</f>
        <v/>
      </c>
      <c r="M61" s="183" t="n">
        <v>18</v>
      </c>
      <c r="N61" s="188" t="n">
        <v>0.131</v>
      </c>
      <c r="O61" s="189" t="inlineStr">
        <is>
          <t>N</t>
        </is>
      </c>
      <c r="P61" s="183" t="inlineStr">
        <is>
          <t>N</t>
        </is>
      </c>
      <c r="Q61" s="184" t="inlineStr">
        <is>
          <t>Broker</t>
        </is>
      </c>
      <c r="R61" s="184" t="inlineStr">
        <is>
          <t>Borrower went elsewhere</t>
        </is>
      </c>
      <c r="S61" s="98" t="inlineStr">
        <is>
          <t>Suleman Rafiq</t>
        </is>
      </c>
    </row>
    <row r="62" ht="12.75" customFormat="1" customHeight="1" s="98">
      <c r="A62" s="181" t="n">
        <v>46082</v>
      </c>
      <c r="B62" s="190" t="inlineStr">
        <is>
          <t>29 Dene Road, Northwood, HA6 2DD</t>
        </is>
      </c>
      <c r="C62" s="183" t="inlineStr">
        <is>
          <t>Residential</t>
        </is>
      </c>
      <c r="D62" s="182" t="n"/>
      <c r="E62" s="183" t="inlineStr">
        <is>
          <t>Senior</t>
        </is>
      </c>
      <c r="F62" s="183" t="inlineStr">
        <is>
          <t>Bridge</t>
        </is>
      </c>
      <c r="G62" s="183" t="inlineStr">
        <is>
          <t>R</t>
        </is>
      </c>
      <c r="H62" s="185" t="n">
        <v>1.6</v>
      </c>
      <c r="I62" s="186" t="n"/>
      <c r="J62" s="185" t="n"/>
      <c r="K62" s="185" t="n">
        <v>1.15</v>
      </c>
      <c r="L62" s="187">
        <f>H62/K62</f>
        <v/>
      </c>
      <c r="M62" s="183" t="n">
        <v>12</v>
      </c>
      <c r="N62" s="188" t="n"/>
      <c r="O62" s="189" t="inlineStr">
        <is>
          <t>N</t>
        </is>
      </c>
      <c r="P62" s="183" t="inlineStr">
        <is>
          <t>N</t>
        </is>
      </c>
      <c r="Q62" s="184" t="inlineStr">
        <is>
          <t>Broker</t>
        </is>
      </c>
      <c r="R62" s="184" t="n"/>
    </row>
    <row r="63" ht="12.75" customFormat="1" customHeight="1" s="98">
      <c r="A63" s="181" t="n">
        <v>46082</v>
      </c>
      <c r="B63" s="190" t="inlineStr">
        <is>
          <t>Princess Yatch Industrial Porfolio</t>
        </is>
      </c>
      <c r="C63" s="183" t="inlineStr">
        <is>
          <t>Industrial</t>
        </is>
      </c>
      <c r="D63" s="182" t="inlineStr">
        <is>
          <t>Brotherton</t>
        </is>
      </c>
      <c r="E63" s="183" t="inlineStr">
        <is>
          <t>Mezz</t>
        </is>
      </c>
      <c r="F63" s="183" t="inlineStr">
        <is>
          <t>Bridge</t>
        </is>
      </c>
      <c r="G63" s="183" t="inlineStr">
        <is>
          <t>A</t>
        </is>
      </c>
      <c r="H63" s="185" t="n">
        <v>46.6</v>
      </c>
      <c r="I63" s="186" t="n"/>
      <c r="J63" s="185" t="n"/>
      <c r="K63" s="185" t="n">
        <v>57.5</v>
      </c>
      <c r="L63" s="187">
        <f>H63/K63</f>
        <v/>
      </c>
      <c r="M63" s="183" t="n">
        <v>24</v>
      </c>
      <c r="N63" s="188" t="n"/>
      <c r="O63" s="189" t="inlineStr">
        <is>
          <t>N</t>
        </is>
      </c>
      <c r="P63" s="183" t="inlineStr">
        <is>
          <t>N</t>
        </is>
      </c>
      <c r="Q63" s="184" t="n"/>
      <c r="R63" s="184" t="inlineStr">
        <is>
          <t>Declined by REL</t>
        </is>
      </c>
    </row>
    <row r="64" ht="12.75" customFormat="1" customHeight="1" s="98">
      <c r="A64" s="181" t="n">
        <v>46023</v>
      </c>
      <c r="B64" s="182" t="inlineStr">
        <is>
          <t>Tribeca Retail and Residential, Croydon</t>
        </is>
      </c>
      <c r="C64" s="183" t="inlineStr">
        <is>
          <t>Retail and Residential</t>
        </is>
      </c>
      <c r="D64" s="184" t="inlineStr">
        <is>
          <t>Tribeca</t>
        </is>
      </c>
      <c r="E64" s="183" t="inlineStr">
        <is>
          <t>Mezz</t>
        </is>
      </c>
      <c r="F64" s="183" t="inlineStr">
        <is>
          <t>Bridge</t>
        </is>
      </c>
      <c r="G64" s="183" t="inlineStr">
        <is>
          <t>A</t>
        </is>
      </c>
      <c r="H64" s="185" t="n">
        <v>31.95</v>
      </c>
      <c r="I64" s="186" t="n">
        <v>0.83</v>
      </c>
      <c r="J64" s="185" t="n">
        <v>32.35</v>
      </c>
      <c r="K64" s="185" t="n">
        <v>45</v>
      </c>
      <c r="L64" s="187" t="n">
        <v>0.71</v>
      </c>
      <c r="M64" s="183" t="n">
        <v>18</v>
      </c>
      <c r="N64" s="188" t="n">
        <v>0.1078</v>
      </c>
      <c r="O64" s="189" t="inlineStr">
        <is>
          <t>Y</t>
        </is>
      </c>
      <c r="P64" s="183" t="inlineStr">
        <is>
          <t>N</t>
        </is>
      </c>
      <c r="Q64" s="184" t="inlineStr">
        <is>
          <t>Broker</t>
        </is>
      </c>
      <c r="R64" s="184" t="inlineStr">
        <is>
          <t>Sponsor went elsewhere - Jay Deal</t>
        </is>
      </c>
      <c r="S64" s="98" t="inlineStr">
        <is>
          <t>Jay Bohgal</t>
        </is>
      </c>
    </row>
    <row r="65" ht="12.75" customFormat="1" customHeight="1" s="98">
      <c r="A65" s="181" t="n">
        <v>45931</v>
      </c>
      <c r="B65" s="182" t="inlineStr">
        <is>
          <t>Blenheim Industrial Nottingham</t>
        </is>
      </c>
      <c r="C65" s="183" t="inlineStr">
        <is>
          <t>Industial</t>
        </is>
      </c>
      <c r="D65" s="184" t="inlineStr">
        <is>
          <t>Stellar Asset Management</t>
        </is>
      </c>
      <c r="E65" s="183" t="inlineStr">
        <is>
          <t>Senior</t>
        </is>
      </c>
      <c r="F65" s="183" t="inlineStr">
        <is>
          <t>Bridge</t>
        </is>
      </c>
      <c r="G65" s="183" t="inlineStr">
        <is>
          <t>R</t>
        </is>
      </c>
      <c r="H65" s="185" t="n">
        <v>2.8</v>
      </c>
      <c r="I65" s="186" t="n">
        <v>0.22</v>
      </c>
      <c r="J65" s="185" t="n">
        <v>2.8</v>
      </c>
      <c r="K65" s="185" t="n">
        <v>4.375</v>
      </c>
      <c r="L65" s="187">
        <f>J65/K65</f>
        <v/>
      </c>
      <c r="M65" s="183" t="n">
        <v>18</v>
      </c>
      <c r="N65" s="188" t="n">
        <v>0.1329</v>
      </c>
      <c r="O65" s="189" t="inlineStr">
        <is>
          <t>N</t>
        </is>
      </c>
      <c r="P65" s="183" t="inlineStr">
        <is>
          <t>N</t>
        </is>
      </c>
      <c r="Q65" s="184" t="inlineStr">
        <is>
          <t>Broker</t>
        </is>
      </c>
      <c r="R65" s="184" t="inlineStr">
        <is>
          <t>Did not Aquire</t>
        </is>
      </c>
      <c r="S65" s="98" t="inlineStr">
        <is>
          <t>Charles Irvine</t>
        </is>
      </c>
    </row>
    <row r="66" ht="12.75" customFormat="1" customHeight="1" s="98">
      <c r="A66" s="181" t="n">
        <v>46023</v>
      </c>
      <c r="B66" s="182" t="inlineStr">
        <is>
          <t>Art Capital, Michelin Scotland Innovation Parc, Dundee</t>
        </is>
      </c>
      <c r="C66" s="183" t="inlineStr">
        <is>
          <t>Industrial</t>
        </is>
      </c>
      <c r="D66" s="184" t="inlineStr">
        <is>
          <t>JD Wilkie</t>
        </is>
      </c>
      <c r="E66" s="183" t="n"/>
      <c r="F66" s="183" t="inlineStr">
        <is>
          <t>Bridge</t>
        </is>
      </c>
      <c r="G66" s="183" t="n"/>
      <c r="H66" s="185" t="n">
        <v>10</v>
      </c>
      <c r="I66" s="186" t="n"/>
      <c r="J66" s="185" t="n"/>
      <c r="K66" s="185" t="n">
        <v>14</v>
      </c>
      <c r="L66" s="187">
        <f>H66/K66</f>
        <v/>
      </c>
      <c r="M66" s="183" t="n"/>
      <c r="N66" s="188" t="n"/>
      <c r="O66" s="189" t="inlineStr">
        <is>
          <t>N</t>
        </is>
      </c>
      <c r="P66" s="183" t="inlineStr">
        <is>
          <t>N</t>
        </is>
      </c>
      <c r="Q66" s="184" t="inlineStr">
        <is>
          <t>Broker</t>
        </is>
      </c>
      <c r="R66" s="184" t="inlineStr">
        <is>
          <t>Too Regional</t>
        </is>
      </c>
      <c r="S66" s="98" t="inlineStr">
        <is>
          <t>Art Capital</t>
        </is>
      </c>
    </row>
    <row r="67" ht="12.75" customFormat="1" customHeight="1" s="98">
      <c r="A67" s="181" t="n">
        <v>45901</v>
      </c>
      <c r="B67" s="108" t="inlineStr">
        <is>
          <t>21 Garlick Hill SPV, London</t>
        </is>
      </c>
      <c r="C67" s="120" t="inlineStr">
        <is>
          <t>Residential</t>
        </is>
      </c>
      <c r="D67" s="157" t="inlineStr">
        <is>
          <t>Infill Garlick Hill Ltd</t>
        </is>
      </c>
      <c r="E67" s="120" t="inlineStr">
        <is>
          <t>Mezz</t>
        </is>
      </c>
      <c r="F67" s="120" t="inlineStr">
        <is>
          <t>Bridge</t>
        </is>
      </c>
      <c r="G67" s="120" t="inlineStr">
        <is>
          <t>A</t>
        </is>
      </c>
      <c r="H67" s="121" t="n">
        <v>6.5</v>
      </c>
      <c r="I67" s="122" t="n">
        <v>0.407</v>
      </c>
      <c r="J67" s="121" t="n">
        <v>6.5</v>
      </c>
      <c r="K67" s="121" t="n">
        <v>8.75</v>
      </c>
      <c r="L67" s="123">
        <f>J67/K67</f>
        <v/>
      </c>
      <c r="M67" s="120" t="n">
        <v>12</v>
      </c>
      <c r="N67" s="124" t="n">
        <v>0.1354</v>
      </c>
      <c r="O67" s="125" t="inlineStr">
        <is>
          <t>N</t>
        </is>
      </c>
      <c r="P67" s="120" t="inlineStr">
        <is>
          <t>N</t>
        </is>
      </c>
      <c r="Q67" s="108" t="inlineStr">
        <is>
          <t>Broker</t>
        </is>
      </c>
      <c r="R67" s="108" t="inlineStr">
        <is>
          <t>Did not aquire</t>
        </is>
      </c>
      <c r="S67" s="98" t="inlineStr">
        <is>
          <t>Hemesh Oak North</t>
        </is>
      </c>
    </row>
    <row r="68" ht="12.75" customFormat="1" customHeight="1" s="98">
      <c r="A68" s="181" t="n">
        <v>45931</v>
      </c>
      <c r="B68" s="157" t="inlineStr">
        <is>
          <t>17/19 Haymarket, Humberstone Gate, Leicester</t>
        </is>
      </c>
      <c r="C68" s="120" t="inlineStr">
        <is>
          <t>Retail</t>
        </is>
      </c>
      <c r="D68" s="108" t="inlineStr">
        <is>
          <t>Creasta Porperty Ltd</t>
        </is>
      </c>
      <c r="E68" s="120" t="inlineStr">
        <is>
          <t>Senior/ Mezz</t>
        </is>
      </c>
      <c r="F68" s="120" t="inlineStr">
        <is>
          <t>Bridge</t>
        </is>
      </c>
      <c r="G68" s="120" t="inlineStr">
        <is>
          <t>R</t>
        </is>
      </c>
      <c r="H68" s="121" t="n">
        <v>6.2</v>
      </c>
      <c r="I68" s="122" t="n">
        <v>0.852</v>
      </c>
      <c r="J68" s="121" t="n">
        <v>6.2</v>
      </c>
      <c r="K68" s="121" t="n">
        <v>8.75</v>
      </c>
      <c r="L68" s="123">
        <f>J68/K68</f>
        <v/>
      </c>
      <c r="M68" s="120" t="n">
        <v>12</v>
      </c>
      <c r="N68" s="124" t="n">
        <v>0.1505</v>
      </c>
      <c r="O68" s="125" t="inlineStr">
        <is>
          <t>N</t>
        </is>
      </c>
      <c r="P68" s="120" t="inlineStr">
        <is>
          <t>N</t>
        </is>
      </c>
      <c r="Q68" s="108" t="inlineStr">
        <is>
          <t>Broker</t>
        </is>
      </c>
      <c r="R68" s="108" t="inlineStr">
        <is>
          <t>Went with Tab</t>
        </is>
      </c>
      <c r="S68" s="98" t="inlineStr">
        <is>
          <t>Darshan</t>
        </is>
      </c>
    </row>
    <row r="69" ht="12.75" customFormat="1" customHeight="1" s="98">
      <c r="A69" s="181" t="n">
        <v>45931</v>
      </c>
      <c r="B69" s="182" t="inlineStr">
        <is>
          <t>Stella Industrial Tunbridge Wells</t>
        </is>
      </c>
      <c r="C69" s="183" t="inlineStr">
        <is>
          <t>Industrial</t>
        </is>
      </c>
      <c r="D69" s="184" t="n"/>
      <c r="E69" s="183" t="inlineStr">
        <is>
          <t>Mezz</t>
        </is>
      </c>
      <c r="F69" s="183" t="inlineStr">
        <is>
          <t>Bridge</t>
        </is>
      </c>
      <c r="G69" s="183" t="inlineStr">
        <is>
          <t>R</t>
        </is>
      </c>
      <c r="H69" s="185" t="n">
        <v>8.4</v>
      </c>
      <c r="I69" s="186" t="n">
        <v>0.424</v>
      </c>
      <c r="J69" s="185" t="n">
        <v>8.4</v>
      </c>
      <c r="K69" s="185" t="n">
        <v>14</v>
      </c>
      <c r="L69" s="187">
        <f>J69/K69</f>
        <v/>
      </c>
      <c r="M69" s="183" t="n">
        <v>12</v>
      </c>
      <c r="N69" s="188" t="n">
        <v>0.1298</v>
      </c>
      <c r="O69" s="189" t="inlineStr">
        <is>
          <t>N</t>
        </is>
      </c>
      <c r="P69" s="183" t="inlineStr">
        <is>
          <t>N</t>
        </is>
      </c>
      <c r="Q69" s="184" t="inlineStr">
        <is>
          <t>Broker</t>
        </is>
      </c>
      <c r="R69" s="184" t="inlineStr">
        <is>
          <t>Stayed with Fortwell</t>
        </is>
      </c>
    </row>
    <row r="70" ht="12.75" customFormat="1" customHeight="1" s="98">
      <c r="A70" s="181" t="n">
        <v>45931</v>
      </c>
      <c r="B70" s="182" t="inlineStr">
        <is>
          <t>Prime View Kingswells</t>
        </is>
      </c>
      <c r="C70" s="183" t="inlineStr">
        <is>
          <t>Office</t>
        </is>
      </c>
      <c r="D70" s="184" t="n"/>
      <c r="E70" s="183" t="inlineStr">
        <is>
          <t>Mezz</t>
        </is>
      </c>
      <c r="F70" s="183" t="inlineStr">
        <is>
          <t>Bridge</t>
        </is>
      </c>
      <c r="G70" s="183" t="inlineStr">
        <is>
          <t>A</t>
        </is>
      </c>
      <c r="H70" s="185" t="n">
        <v>11.7</v>
      </c>
      <c r="I70" s="186" t="n"/>
      <c r="J70" s="185" t="n">
        <v>11.7</v>
      </c>
      <c r="K70" s="185" t="n"/>
      <c r="L70" s="187" t="inlineStr">
        <is>
          <t>`</t>
        </is>
      </c>
      <c r="M70" s="183" t="n"/>
      <c r="N70" s="188" t="n"/>
      <c r="O70" s="189" t="inlineStr">
        <is>
          <t>Y</t>
        </is>
      </c>
      <c r="P70" s="183" t="n"/>
      <c r="Q70" s="184" t="n"/>
      <c r="R70" s="184" t="n"/>
    </row>
    <row r="71" ht="12.75" customFormat="1" customHeight="1" s="98">
      <c r="A71" s="181" t="n">
        <v>45931</v>
      </c>
      <c r="B71" s="182" t="inlineStr">
        <is>
          <t>64 Tower Bridge Road</t>
        </is>
      </c>
      <c r="C71" s="183" t="inlineStr">
        <is>
          <t>Residential</t>
        </is>
      </c>
      <c r="D71" s="184" t="inlineStr">
        <is>
          <t>Yourapartment.com</t>
        </is>
      </c>
      <c r="E71" s="183" t="inlineStr">
        <is>
          <t>Senior</t>
        </is>
      </c>
      <c r="F71" s="183" t="inlineStr">
        <is>
          <t>Bridge</t>
        </is>
      </c>
      <c r="G71" s="183" t="inlineStr">
        <is>
          <t>A</t>
        </is>
      </c>
      <c r="H71" s="185" t="n">
        <v>3.6</v>
      </c>
      <c r="I71" s="186" t="n">
        <v>0.459</v>
      </c>
      <c r="J71" s="185" t="n">
        <v>3.6</v>
      </c>
      <c r="K71" s="185" t="n">
        <v>5</v>
      </c>
      <c r="L71" s="187">
        <f>J71/K71</f>
        <v/>
      </c>
      <c r="M71" s="183" t="n">
        <v>12</v>
      </c>
      <c r="N71" s="188" t="n">
        <v>0.1349</v>
      </c>
      <c r="O71" s="189" t="inlineStr">
        <is>
          <t>Y</t>
        </is>
      </c>
      <c r="P71" s="183" t="inlineStr">
        <is>
          <t>N</t>
        </is>
      </c>
      <c r="Q71" s="184" t="inlineStr">
        <is>
          <t>Broker</t>
        </is>
      </c>
      <c r="R71" s="184" t="inlineStr">
        <is>
          <t>Went with Hilco</t>
        </is>
      </c>
      <c r="S71" s="98" t="inlineStr">
        <is>
          <t>Jay Bohgal</t>
        </is>
      </c>
    </row>
    <row r="72" ht="12.75" customFormat="1" customHeight="1" s="98">
      <c r="A72" s="181" t="n">
        <v>45931</v>
      </c>
      <c r="B72" s="182" t="inlineStr">
        <is>
          <t>Lothian Gateway</t>
        </is>
      </c>
      <c r="C72" s="183" t="inlineStr">
        <is>
          <t>Industrial</t>
        </is>
      </c>
      <c r="D72" s="184" t="inlineStr">
        <is>
          <t>Catlebrooke Investments</t>
        </is>
      </c>
      <c r="E72" s="183" t="inlineStr">
        <is>
          <t>Mezz</t>
        </is>
      </c>
      <c r="F72" s="183" t="inlineStr">
        <is>
          <t>Bridge</t>
        </is>
      </c>
      <c r="G72" s="183" t="inlineStr">
        <is>
          <t>A</t>
        </is>
      </c>
      <c r="H72" s="185" t="n">
        <v>15.75</v>
      </c>
      <c r="I72" s="186" t="n">
        <v>1.02</v>
      </c>
      <c r="J72" s="185" t="n">
        <v>15.75</v>
      </c>
      <c r="K72" s="185" t="n">
        <v>36</v>
      </c>
      <c r="L72" s="187">
        <f>J72/K72</f>
        <v/>
      </c>
      <c r="M72" s="183" t="n">
        <v>18</v>
      </c>
      <c r="N72" s="188" t="n">
        <v>0.14</v>
      </c>
      <c r="O72" s="189" t="inlineStr">
        <is>
          <t>N</t>
        </is>
      </c>
      <c r="P72" s="183" t="inlineStr">
        <is>
          <t>N</t>
        </is>
      </c>
      <c r="Q72" s="184" t="inlineStr">
        <is>
          <t>Broker</t>
        </is>
      </c>
      <c r="R72" s="184" t="inlineStr">
        <is>
          <t>Did not get comfortable with deal due to leasehold</t>
        </is>
      </c>
      <c r="S72" s="98" t="inlineStr">
        <is>
          <t>Jay Bohgal</t>
        </is>
      </c>
    </row>
    <row r="73" ht="12.75" customFormat="1" customHeight="1" s="98">
      <c r="A73" s="181" t="n">
        <v>45931</v>
      </c>
      <c r="B73" s="182" t="inlineStr">
        <is>
          <t>Royal Albert Docks</t>
        </is>
      </c>
      <c r="C73" s="183" t="inlineStr">
        <is>
          <t>Residential</t>
        </is>
      </c>
      <c r="D73" s="184" t="inlineStr">
        <is>
          <t>DPK</t>
        </is>
      </c>
      <c r="E73" s="183" t="inlineStr">
        <is>
          <t>Mezz</t>
        </is>
      </c>
      <c r="F73" s="183" t="inlineStr">
        <is>
          <t>Bridge</t>
        </is>
      </c>
      <c r="G73" s="183" t="inlineStr">
        <is>
          <t>A</t>
        </is>
      </c>
      <c r="H73" s="185" t="n">
        <v>10.2</v>
      </c>
      <c r="I73" s="186" t="n"/>
      <c r="J73" s="185" t="n">
        <v>11.25</v>
      </c>
      <c r="K73" s="185" t="n"/>
      <c r="L73" s="187" t="n"/>
      <c r="M73" s="183" t="n"/>
      <c r="N73" s="188" t="n"/>
      <c r="O73" s="189" t="inlineStr">
        <is>
          <t>Y</t>
        </is>
      </c>
      <c r="P73" s="183" t="n"/>
      <c r="Q73" s="184" t="n"/>
      <c r="R73" s="184" t="n"/>
    </row>
    <row r="74" ht="12.75" customFormat="1" customHeight="1" s="98">
      <c r="A74" s="181" t="n">
        <v>46054</v>
      </c>
      <c r="B74" s="182" t="inlineStr">
        <is>
          <t>1 Faringdon Street, London</t>
        </is>
      </c>
      <c r="C74" s="183" t="inlineStr">
        <is>
          <t>Hotel</t>
        </is>
      </c>
      <c r="D74" s="184" t="inlineStr">
        <is>
          <t>Lipman Properties</t>
        </is>
      </c>
      <c r="E74" s="183" t="inlineStr">
        <is>
          <t>Mezz</t>
        </is>
      </c>
      <c r="F74" s="183" t="inlineStr">
        <is>
          <t>Bridge</t>
        </is>
      </c>
      <c r="G74" s="183" t="inlineStr">
        <is>
          <t>R</t>
        </is>
      </c>
      <c r="H74" s="185">
        <f>K74*L74</f>
        <v/>
      </c>
      <c r="I74" s="186" t="n"/>
      <c r="J74" s="185" t="n"/>
      <c r="K74" s="185" t="n">
        <v>22</v>
      </c>
      <c r="L74" s="187" t="n">
        <v>0.65</v>
      </c>
      <c r="M74" s="183" t="n"/>
      <c r="N74" s="188" t="n"/>
      <c r="O74" s="189" t="inlineStr">
        <is>
          <t>N</t>
        </is>
      </c>
      <c r="P74" s="183" t="inlineStr">
        <is>
          <t>N</t>
        </is>
      </c>
      <c r="Q74" s="184" t="inlineStr">
        <is>
          <t>Broker</t>
        </is>
      </c>
      <c r="R74" s="184" t="n"/>
    </row>
    <row r="75" ht="12.75" customFormat="1" customHeight="1" s="98">
      <c r="A75" s="181" t="n">
        <v>46023</v>
      </c>
      <c r="B75" s="182" t="inlineStr">
        <is>
          <t>1 Westmoreland Road, Bromley</t>
        </is>
      </c>
      <c r="C75" s="183" t="inlineStr">
        <is>
          <t>Retail and Residential</t>
        </is>
      </c>
      <c r="D75" s="184" t="inlineStr">
        <is>
          <t>London Land Group</t>
        </is>
      </c>
      <c r="E75" s="183" t="inlineStr">
        <is>
          <t>Mezz</t>
        </is>
      </c>
      <c r="F75" s="183" t="inlineStr">
        <is>
          <t>Bridge</t>
        </is>
      </c>
      <c r="G75" s="183" t="inlineStr">
        <is>
          <t>A</t>
        </is>
      </c>
      <c r="H75" s="185" t="n">
        <v>4.26</v>
      </c>
      <c r="I75" s="186" t="n">
        <v>0.299</v>
      </c>
      <c r="J75" s="185" t="n">
        <v>4.302</v>
      </c>
      <c r="K75" s="185" t="n">
        <v>8.1</v>
      </c>
      <c r="L75" s="187">
        <f>H75/K75</f>
        <v/>
      </c>
      <c r="M75" s="183" t="n">
        <v>18</v>
      </c>
      <c r="N75" s="188" t="n">
        <v>0.1187</v>
      </c>
      <c r="O75" s="189" t="inlineStr">
        <is>
          <t>Y</t>
        </is>
      </c>
      <c r="P75" s="183" t="inlineStr">
        <is>
          <t>N</t>
        </is>
      </c>
      <c r="Q75" s="184" t="inlineStr">
        <is>
          <t>Broker</t>
        </is>
      </c>
      <c r="R75" s="184" t="inlineStr">
        <is>
          <t>Indicative terms</t>
        </is>
      </c>
    </row>
    <row r="76" ht="12.75" customFormat="1" customHeight="1" s="98">
      <c r="A76" s="181" t="n">
        <v>46054</v>
      </c>
      <c r="B76" s="156" t="inlineStr">
        <is>
          <t>22 Wadsworth Road, Greenford, Middlesex, UB6 7JD</t>
        </is>
      </c>
      <c r="C76" s="183" t="inlineStr">
        <is>
          <t>Retail</t>
        </is>
      </c>
      <c r="D76" s="182" t="inlineStr">
        <is>
          <t>Perivale Everglade Window Properties Ltd</t>
        </is>
      </c>
      <c r="E76" s="183" t="inlineStr">
        <is>
          <t>Mezz</t>
        </is>
      </c>
      <c r="F76" s="183" t="inlineStr">
        <is>
          <t>Bridge</t>
        </is>
      </c>
      <c r="G76" s="183" t="inlineStr">
        <is>
          <t>R</t>
        </is>
      </c>
      <c r="H76" s="185" t="n">
        <v>5.78</v>
      </c>
      <c r="I76" s="186" t="n">
        <v>0.423</v>
      </c>
      <c r="J76" s="185" t="n">
        <v>5.895</v>
      </c>
      <c r="K76" s="185" t="n">
        <v>8.5</v>
      </c>
      <c r="L76" s="187">
        <f>H76/K76</f>
        <v/>
      </c>
      <c r="M76" s="183" t="n">
        <v>15</v>
      </c>
      <c r="N76" s="188" t="n">
        <v>0.1464</v>
      </c>
      <c r="O76" s="189" t="inlineStr">
        <is>
          <t>Y</t>
        </is>
      </c>
      <c r="P76" s="183" t="inlineStr">
        <is>
          <t>N</t>
        </is>
      </c>
      <c r="Q76" s="184" t="inlineStr">
        <is>
          <t>Broker</t>
        </is>
      </c>
      <c r="R76" s="184" t="inlineStr">
        <is>
          <t>Went with Alica Cheaper on Pricing</t>
        </is>
      </c>
    </row>
    <row r="77" ht="12.75" customFormat="1" customHeight="1" s="98">
      <c r="A77" s="181" t="n">
        <v>46054</v>
      </c>
      <c r="B77" s="182" t="inlineStr">
        <is>
          <t>Hotel Porfolio - Edinburgh, Manchester, Bristol</t>
        </is>
      </c>
      <c r="C77" s="183" t="inlineStr">
        <is>
          <t>Hotel</t>
        </is>
      </c>
      <c r="D77" s="184" t="inlineStr">
        <is>
          <t>Gilbert Grosjean</t>
        </is>
      </c>
      <c r="E77" s="183" t="inlineStr">
        <is>
          <t>Mezz</t>
        </is>
      </c>
      <c r="F77" s="183" t="inlineStr">
        <is>
          <t>Bridge</t>
        </is>
      </c>
      <c r="G77" s="183" t="inlineStr">
        <is>
          <t>A</t>
        </is>
      </c>
      <c r="H77" s="185" t="n">
        <v>38.5</v>
      </c>
      <c r="I77" s="186" t="n"/>
      <c r="J77" s="185" t="n">
        <v>22.12</v>
      </c>
      <c r="K77" s="185" t="n">
        <v>55</v>
      </c>
      <c r="L77" s="187">
        <f>H77/K77</f>
        <v/>
      </c>
      <c r="M77" s="183" t="n"/>
      <c r="N77" s="188" t="n"/>
      <c r="O77" s="189" t="inlineStr">
        <is>
          <t>N</t>
        </is>
      </c>
      <c r="P77" s="183" t="inlineStr">
        <is>
          <t>N</t>
        </is>
      </c>
      <c r="Q77" s="184" t="inlineStr">
        <is>
          <t>Broker</t>
        </is>
      </c>
      <c r="R77" s="184" t="inlineStr">
        <is>
          <t>Closed with Mizrahi</t>
        </is>
      </c>
    </row>
    <row r="78" ht="12.75" customFormat="1" customHeight="1" s="98">
      <c r="A78" s="181" t="n">
        <v>46054</v>
      </c>
      <c r="B78" s="190" t="inlineStr">
        <is>
          <t>The Beaufort Hotel, Knightsbridge</t>
        </is>
      </c>
      <c r="C78" s="183" t="inlineStr">
        <is>
          <t>Hotel</t>
        </is>
      </c>
      <c r="D78" s="182" t="inlineStr">
        <is>
          <t>Mr Ahmed Jajbhay</t>
        </is>
      </c>
      <c r="E78" s="183" t="inlineStr">
        <is>
          <t xml:space="preserve">Senior </t>
        </is>
      </c>
      <c r="F78" s="183" t="inlineStr">
        <is>
          <t>Bridge</t>
        </is>
      </c>
      <c r="G78" s="183" t="inlineStr">
        <is>
          <t>R</t>
        </is>
      </c>
      <c r="H78" s="185" t="n">
        <v>13.7</v>
      </c>
      <c r="I78" s="186" t="n"/>
      <c r="J78" s="185" t="n"/>
      <c r="K78" s="185" t="n">
        <v>25</v>
      </c>
      <c r="L78" s="187">
        <f>H78/K78</f>
        <v/>
      </c>
      <c r="M78" s="183" t="n"/>
      <c r="N78" s="188" t="n"/>
      <c r="O78" s="189" t="n"/>
      <c r="P78" s="183" t="n"/>
      <c r="Q78" s="184" t="n"/>
      <c r="R78" s="184" t="inlineStr">
        <is>
          <t>closed with GRE</t>
        </is>
      </c>
    </row>
    <row r="79" ht="12.75" customFormat="1" customHeight="1" s="98">
      <c r="A79" s="181" t="n">
        <v>46023</v>
      </c>
      <c r="B79" s="182" t="inlineStr">
        <is>
          <t>Plant Basingstoke</t>
        </is>
      </c>
      <c r="C79" s="183" t="inlineStr">
        <is>
          <t>Office</t>
        </is>
      </c>
      <c r="D79" s="184" t="inlineStr">
        <is>
          <t>Plant</t>
        </is>
      </c>
      <c r="E79" s="183" t="inlineStr">
        <is>
          <t>Mezz</t>
        </is>
      </c>
      <c r="F79" s="183" t="inlineStr">
        <is>
          <t>Bridge</t>
        </is>
      </c>
      <c r="G79" s="183" t="inlineStr">
        <is>
          <t>A</t>
        </is>
      </c>
      <c r="H79" s="185" t="n">
        <v>35.5</v>
      </c>
      <c r="I79" s="186" t="n">
        <v>1.42</v>
      </c>
      <c r="J79" s="185" t="n">
        <v>35.9</v>
      </c>
      <c r="K79" s="185" t="n">
        <v>50</v>
      </c>
      <c r="L79" s="187" t="n">
        <v>0.71</v>
      </c>
      <c r="M79" s="183" t="n">
        <v>24</v>
      </c>
      <c r="N79" s="188" t="n">
        <v>0.1076</v>
      </c>
      <c r="O79" s="189" t="inlineStr">
        <is>
          <t>Y</t>
        </is>
      </c>
      <c r="P79" s="183" t="inlineStr">
        <is>
          <t>N</t>
        </is>
      </c>
      <c r="Q79" s="184" t="inlineStr">
        <is>
          <t>Broker</t>
        </is>
      </c>
      <c r="R79" s="184" t="inlineStr">
        <is>
          <t>Reviewing</t>
        </is>
      </c>
    </row>
    <row r="80" ht="12.75" customFormat="1" customHeight="1" s="98">
      <c r="A80" s="181" t="n">
        <v>46023</v>
      </c>
      <c r="B80" s="182" t="inlineStr">
        <is>
          <t>Collum Green House, Collinswood, Farnham Common</t>
        </is>
      </c>
      <c r="C80" s="183" t="inlineStr">
        <is>
          <t>Retail</t>
        </is>
      </c>
      <c r="D80" s="184" t="inlineStr">
        <is>
          <t>Vijay Bhandari</t>
        </is>
      </c>
      <c r="E80" s="183" t="inlineStr">
        <is>
          <t>Senior</t>
        </is>
      </c>
      <c r="F80" s="183" t="inlineStr">
        <is>
          <t>Bridge</t>
        </is>
      </c>
      <c r="G80" s="183" t="inlineStr">
        <is>
          <t>A</t>
        </is>
      </c>
      <c r="H80" s="185" t="n">
        <v>1.575</v>
      </c>
      <c r="I80" s="186" t="n">
        <v>0.204</v>
      </c>
      <c r="J80" s="185" t="n">
        <v>1.59</v>
      </c>
      <c r="K80" s="185" t="n">
        <v>2.25</v>
      </c>
      <c r="L80" s="187" t="n">
        <v>0.7</v>
      </c>
      <c r="M80" s="183" t="n">
        <v>12</v>
      </c>
      <c r="N80" s="188" t="n">
        <v>0.1386</v>
      </c>
      <c r="O80" s="189" t="inlineStr">
        <is>
          <t>Y</t>
        </is>
      </c>
      <c r="P80" s="183" t="inlineStr">
        <is>
          <t>N</t>
        </is>
      </c>
      <c r="Q80" s="184" t="inlineStr">
        <is>
          <t>Direct</t>
        </is>
      </c>
      <c r="R80" s="184" t="inlineStr">
        <is>
          <t xml:space="preserve">Indicative terms </t>
        </is>
      </c>
    </row>
    <row r="81" ht="12.75" customFormat="1" customHeight="1" s="98">
      <c r="A81" s="181" t="n">
        <v>46023</v>
      </c>
      <c r="B81" s="182" t="inlineStr">
        <is>
          <t>Fountain House, Hyde Park, London, W2 3PF</t>
        </is>
      </c>
      <c r="C81" s="183" t="inlineStr">
        <is>
          <t>Residential</t>
        </is>
      </c>
      <c r="D81" s="184" t="inlineStr">
        <is>
          <t>Rasmala</t>
        </is>
      </c>
      <c r="E81" s="183" t="inlineStr">
        <is>
          <t>Mezz</t>
        </is>
      </c>
      <c r="F81" s="183" t="inlineStr">
        <is>
          <t>Bridge</t>
        </is>
      </c>
      <c r="G81" s="183" t="inlineStr">
        <is>
          <t>A</t>
        </is>
      </c>
      <c r="H81" s="185" t="n">
        <v>31.95</v>
      </c>
      <c r="I81" s="186" t="n">
        <v>0.834</v>
      </c>
      <c r="J81" s="185" t="n">
        <v>32.35</v>
      </c>
      <c r="K81" s="185" t="n">
        <v>45</v>
      </c>
      <c r="L81" s="187" t="n">
        <v>0.71</v>
      </c>
      <c r="M81" s="183" t="n">
        <v>18</v>
      </c>
      <c r="N81" s="188" t="n">
        <v>0.1078</v>
      </c>
      <c r="O81" s="189" t="inlineStr">
        <is>
          <t>Y</t>
        </is>
      </c>
      <c r="P81" s="183" t="inlineStr">
        <is>
          <t>N</t>
        </is>
      </c>
      <c r="Q81" s="184" t="inlineStr">
        <is>
          <t>Direct</t>
        </is>
      </c>
      <c r="R81" s="184" t="inlineStr">
        <is>
          <t xml:space="preserve">Indicative terms </t>
        </is>
      </c>
    </row>
    <row r="82" ht="12.75" customFormat="1" customHeight="1" s="98">
      <c r="A82" s="181" t="n">
        <v>46054</v>
      </c>
      <c r="B82" s="190" t="inlineStr">
        <is>
          <t>Wentworth Estate, Surrey</t>
        </is>
      </c>
      <c r="C82" s="183" t="inlineStr">
        <is>
          <t>Residential</t>
        </is>
      </c>
      <c r="D82" s="182" t="inlineStr">
        <is>
          <t>UBO, Stefano Marsaglia</t>
        </is>
      </c>
      <c r="E82" s="183" t="inlineStr">
        <is>
          <t>Senior</t>
        </is>
      </c>
      <c r="F82" s="183" t="inlineStr">
        <is>
          <t>Bridge</t>
        </is>
      </c>
      <c r="G82" s="183" t="inlineStr">
        <is>
          <t>R</t>
        </is>
      </c>
      <c r="H82" s="185" t="n">
        <v>15</v>
      </c>
      <c r="I82" s="186" t="n">
        <v>1.9</v>
      </c>
      <c r="J82" s="185" t="n">
        <v>15.15</v>
      </c>
      <c r="K82" s="185" t="n">
        <v>22.5</v>
      </c>
      <c r="L82" s="187">
        <f>H82/K82</f>
        <v/>
      </c>
      <c r="M82" s="183" t="n">
        <v>12</v>
      </c>
      <c r="N82" s="188" t="n">
        <v>0.14</v>
      </c>
      <c r="O82" s="189" t="inlineStr">
        <is>
          <t>N</t>
        </is>
      </c>
      <c r="P82" s="183" t="inlineStr">
        <is>
          <t>N</t>
        </is>
      </c>
      <c r="Q82" s="184" t="inlineStr">
        <is>
          <t>Broker</t>
        </is>
      </c>
      <c r="R82" s="184" t="inlineStr">
        <is>
          <t>Declined by REL</t>
        </is>
      </c>
    </row>
    <row r="83" ht="12.75" customFormat="1" customHeight="1" s="98">
      <c r="A83" s="181" t="n">
        <v>46082</v>
      </c>
      <c r="B83" s="190" t="inlineStr">
        <is>
          <t xml:space="preserve">Starboard UK Hotels </t>
        </is>
      </c>
      <c r="C83" s="183" t="inlineStr">
        <is>
          <t>Hotel</t>
        </is>
      </c>
      <c r="D83" s="182" t="inlineStr">
        <is>
          <t>Starboard</t>
        </is>
      </c>
      <c r="E83" s="183" t="inlineStr">
        <is>
          <t>Mezz</t>
        </is>
      </c>
      <c r="F83" s="183" t="inlineStr">
        <is>
          <t>Bridge</t>
        </is>
      </c>
      <c r="G83" s="183" t="inlineStr">
        <is>
          <t>R</t>
        </is>
      </c>
      <c r="H83" s="185" t="n">
        <v>52.5</v>
      </c>
      <c r="I83" s="186" t="n"/>
      <c r="J83" s="185" t="n">
        <v>52.5</v>
      </c>
      <c r="K83" s="185" t="n">
        <v>70</v>
      </c>
      <c r="L83" s="187">
        <f>H83/K83</f>
        <v/>
      </c>
      <c r="M83" s="183" t="n">
        <v>12</v>
      </c>
      <c r="N83" s="188" t="n"/>
      <c r="O83" s="189" t="inlineStr">
        <is>
          <t>N</t>
        </is>
      </c>
      <c r="P83" s="183" t="inlineStr">
        <is>
          <t>N</t>
        </is>
      </c>
      <c r="Q83" s="184" t="n"/>
      <c r="R83" s="184" t="inlineStr">
        <is>
          <t>Considering financing options</t>
        </is>
      </c>
    </row>
    <row r="84" ht="12.75" customFormat="1" customHeight="1" s="98">
      <c r="A84" s="181" t="n">
        <v>46113</v>
      </c>
      <c r="B84" s="190" t="inlineStr">
        <is>
          <t>The Amber House, 7 Somerset Road, London SW19 5JU / 3A Lincoln Avenue, Wimbledon, SW19 5JT</t>
        </is>
      </c>
      <c r="C84" s="183" t="inlineStr">
        <is>
          <t>Residential</t>
        </is>
      </c>
      <c r="D84" s="182" t="inlineStr">
        <is>
          <t>Mr Rashad AlYawer</t>
        </is>
      </c>
      <c r="E84" s="183" t="inlineStr">
        <is>
          <t>Senior</t>
        </is>
      </c>
      <c r="F84" s="183" t="inlineStr">
        <is>
          <t>Bridge</t>
        </is>
      </c>
      <c r="G84" s="183" t="inlineStr">
        <is>
          <t>R</t>
        </is>
      </c>
      <c r="H84" s="185" t="n">
        <v>8.140000000000001</v>
      </c>
      <c r="I84" s="186" t="n"/>
      <c r="J84" s="185" t="n">
        <v>9.1</v>
      </c>
      <c r="K84" s="185" t="n">
        <v>13</v>
      </c>
      <c r="L84" s="187" t="n">
        <v>0.7</v>
      </c>
      <c r="M84" s="183" t="n">
        <v>12</v>
      </c>
      <c r="N84" s="188" t="n"/>
      <c r="O84" s="189" t="inlineStr">
        <is>
          <t>Y</t>
        </is>
      </c>
      <c r="P84" s="183" t="inlineStr">
        <is>
          <t>N</t>
        </is>
      </c>
      <c r="Q84" s="184" t="inlineStr">
        <is>
          <t>Broker</t>
        </is>
      </c>
      <c r="R84" s="184" t="inlineStr">
        <is>
          <t>Out proced</t>
        </is>
      </c>
      <c r="S84" s="191" t="n"/>
    </row>
    <row r="85" ht="12.75" customFormat="1" customHeight="1" s="98">
      <c r="A85" s="181" t="n">
        <v>46113</v>
      </c>
      <c r="B85" s="190" t="inlineStr">
        <is>
          <t>Uno Thames Hotel</t>
        </is>
      </c>
      <c r="C85" s="183" t="inlineStr">
        <is>
          <t>Hotel</t>
        </is>
      </c>
      <c r="D85" s="182" t="inlineStr">
        <is>
          <t>Vijay Bhandari / Uno Hotels</t>
        </is>
      </c>
      <c r="E85" s="183" t="inlineStr">
        <is>
          <t>Senior</t>
        </is>
      </c>
      <c r="F85" s="183" t="inlineStr">
        <is>
          <t>Bridge</t>
        </is>
      </c>
      <c r="G85" s="183" t="n"/>
      <c r="H85" s="185" t="n">
        <v>0.5</v>
      </c>
      <c r="I85" s="186" t="n">
        <v>0.04</v>
      </c>
      <c r="J85" s="185" t="n">
        <v>0.51</v>
      </c>
      <c r="K85" s="185" t="n">
        <v>2</v>
      </c>
      <c r="L85" s="187" t="n">
        <v>0.25</v>
      </c>
      <c r="M85" s="183" t="n">
        <v>6</v>
      </c>
      <c r="N85" s="188" t="n">
        <v>0.19</v>
      </c>
      <c r="O85" s="189" t="inlineStr">
        <is>
          <t>N</t>
        </is>
      </c>
      <c r="P85" s="183" t="inlineStr">
        <is>
          <t>N</t>
        </is>
      </c>
      <c r="Q85" s="184" t="inlineStr">
        <is>
          <t>Direct</t>
        </is>
      </c>
      <c r="R85" s="184" t="inlineStr">
        <is>
          <t>Terms sent</t>
        </is>
      </c>
      <c r="S85" s="191" t="n"/>
    </row>
    <row r="86" ht="12.75" customFormat="1" customHeight="1" s="98">
      <c r="A86" s="181" t="n">
        <v>46143</v>
      </c>
      <c r="B86" s="190" t="inlineStr">
        <is>
          <t>Stouts Hill, Lampern Hill, Uley, Dursley, Gloucestershire, GL11 5BT</t>
        </is>
      </c>
      <c r="C86" s="183" t="inlineStr">
        <is>
          <t>Residential</t>
        </is>
      </c>
      <c r="D86" s="182" t="inlineStr">
        <is>
          <t>Offshore family trust / offshore company</t>
        </is>
      </c>
      <c r="E86" s="183" t="inlineStr">
        <is>
          <t>Senior</t>
        </is>
      </c>
      <c r="F86" s="183" t="inlineStr">
        <is>
          <t>Bridge</t>
        </is>
      </c>
      <c r="G86" s="183" t="inlineStr">
        <is>
          <t>R</t>
        </is>
      </c>
      <c r="H86" s="185" t="n">
        <v>3.5</v>
      </c>
      <c r="I86" s="186" t="n"/>
      <c r="J86" s="185" t="n">
        <v>3.5</v>
      </c>
      <c r="K86" s="185" t="n">
        <v>6.2</v>
      </c>
      <c r="L86" s="187" t="n">
        <v>0.5600000000000001</v>
      </c>
      <c r="M86" s="183" t="n">
        <v>12</v>
      </c>
      <c r="N86" s="188" t="n"/>
      <c r="O86" s="189" t="inlineStr">
        <is>
          <t>N</t>
        </is>
      </c>
      <c r="P86" s="183" t="inlineStr">
        <is>
          <t>N</t>
        </is>
      </c>
      <c r="Q86" s="184" t="inlineStr">
        <is>
          <t>Broker</t>
        </is>
      </c>
      <c r="R86" s="184" t="inlineStr">
        <is>
          <t>Lost too Cheaper pricing</t>
        </is>
      </c>
      <c r="S86" s="191" t="inlineStr">
        <is>
          <t>Vishal</t>
        </is>
      </c>
    </row>
    <row r="87" ht="12.75" customFormat="1" customHeight="1" s="98">
      <c r="A87" s="181" t="n">
        <v>46143</v>
      </c>
      <c r="B87" s="190" t="inlineStr">
        <is>
          <t>Eagle Tower, Cheltenham</t>
        </is>
      </c>
      <c r="C87" s="183" t="inlineStr">
        <is>
          <t>Office</t>
        </is>
      </c>
      <c r="D87" s="182" t="n"/>
      <c r="E87" s="183" t="inlineStr">
        <is>
          <t>Senior</t>
        </is>
      </c>
      <c r="F87" s="183" t="inlineStr">
        <is>
          <t>Bridge</t>
        </is>
      </c>
      <c r="G87" s="183" t="inlineStr">
        <is>
          <t>A</t>
        </is>
      </c>
      <c r="H87" s="185" t="n">
        <v>9.01</v>
      </c>
      <c r="I87" s="186" t="n"/>
      <c r="J87" s="185" t="n">
        <v>9.1</v>
      </c>
      <c r="K87" s="185" t="n">
        <v>14</v>
      </c>
      <c r="L87" s="187" t="n">
        <v>0.65</v>
      </c>
      <c r="M87" s="183" t="n">
        <v>18</v>
      </c>
      <c r="N87" s="188" t="n"/>
      <c r="O87" s="189" t="inlineStr">
        <is>
          <t>Y</t>
        </is>
      </c>
      <c r="P87" s="183" t="inlineStr">
        <is>
          <t>N</t>
        </is>
      </c>
      <c r="Q87" s="184" t="inlineStr">
        <is>
          <t>Broker</t>
        </is>
      </c>
      <c r="R87" s="184" t="inlineStr">
        <is>
          <t>Lost too Cheaper pricing</t>
        </is>
      </c>
      <c r="S87" s="191" t="inlineStr">
        <is>
          <t>Richard Day Avison Young</t>
        </is>
      </c>
    </row>
    <row r="88" ht="12.75" customFormat="1" customHeight="1" s="98">
      <c r="A88" s="181" t="n">
        <v>46023</v>
      </c>
      <c r="B88" s="182" t="inlineStr">
        <is>
          <t>Hotel Portfolio - Bristol, Plymouth, Cardiff</t>
        </is>
      </c>
      <c r="C88" s="183" t="inlineStr">
        <is>
          <t>Hotel</t>
        </is>
      </c>
      <c r="D88" s="184" t="inlineStr">
        <is>
          <t>Andrew Mccarthy</t>
        </is>
      </c>
      <c r="E88" s="183" t="inlineStr">
        <is>
          <t>Senior</t>
        </is>
      </c>
      <c r="F88" s="183" t="inlineStr">
        <is>
          <t>Bridge</t>
        </is>
      </c>
      <c r="G88" s="183" t="inlineStr">
        <is>
          <t>A</t>
        </is>
      </c>
      <c r="H88" s="185" t="n">
        <v>34</v>
      </c>
      <c r="I88" s="186" t="n">
        <v>4</v>
      </c>
      <c r="J88" s="185" t="n">
        <v>34</v>
      </c>
      <c r="K88" s="185" t="n">
        <v>54</v>
      </c>
      <c r="L88" s="187">
        <f>H88/K88</f>
        <v/>
      </c>
      <c r="M88" s="183" t="n">
        <v>12</v>
      </c>
      <c r="N88" s="188" t="n">
        <v>0.13</v>
      </c>
      <c r="O88" s="189" t="inlineStr">
        <is>
          <t>N</t>
        </is>
      </c>
      <c r="P88" s="183" t="inlineStr">
        <is>
          <t>N</t>
        </is>
      </c>
      <c r="Q88" s="184" t="inlineStr">
        <is>
          <t>Broker</t>
        </is>
      </c>
      <c r="R88" s="184" t="inlineStr">
        <is>
          <t>Chris Whytney - sent high level terms aggressive leverage</t>
        </is>
      </c>
    </row>
    <row r="89" ht="38.25" customFormat="1" customHeight="1" s="98">
      <c r="A89" s="192" t="n">
        <v>46113</v>
      </c>
      <c r="B89" s="190" t="inlineStr">
        <is>
          <t>22-24 Southwark Bridge Road</t>
        </is>
      </c>
      <c r="C89" s="183" t="inlineStr">
        <is>
          <t>Hotel</t>
        </is>
      </c>
      <c r="D89" s="182" t="n"/>
      <c r="E89" s="183" t="inlineStr">
        <is>
          <t>Senior</t>
        </is>
      </c>
      <c r="F89" s="183" t="inlineStr">
        <is>
          <t>Bridge</t>
        </is>
      </c>
      <c r="G89" s="183" t="inlineStr">
        <is>
          <t>R</t>
        </is>
      </c>
      <c r="H89" s="185" t="n">
        <v>12.84</v>
      </c>
      <c r="I89" s="186" t="n"/>
      <c r="J89" s="185" t="n">
        <v>15</v>
      </c>
      <c r="K89" s="185" t="n">
        <v>30</v>
      </c>
      <c r="L89" s="187" t="n">
        <v>0.5</v>
      </c>
      <c r="M89" s="183" t="n">
        <v>18</v>
      </c>
      <c r="N89" s="188" t="n"/>
      <c r="O89" s="183" t="inlineStr">
        <is>
          <t>Y</t>
        </is>
      </c>
      <c r="P89" s="183" t="inlineStr">
        <is>
          <t>N</t>
        </is>
      </c>
      <c r="Q89" s="184" t="inlineStr">
        <is>
          <t>Direct</t>
        </is>
      </c>
      <c r="R89" s="193" t="inlineStr">
        <is>
          <t xml:space="preserve">Pre-construction bridge to development finance in c.18 months. Resolution to Grant achieved Mar-26. S.106 in final stages. </t>
        </is>
      </c>
      <c r="S89" s="158" t="n"/>
      <c r="T89" s="107" t="n"/>
      <c r="U89" s="107" t="n"/>
      <c r="V89" s="107" t="n"/>
    </row>
    <row r="90" ht="12.75" customFormat="1" customHeight="1" s="98">
      <c r="A90" s="181" t="n">
        <v>46113</v>
      </c>
      <c r="B90" s="190" t="inlineStr">
        <is>
          <t>Steel Works, Culvert Court, Battersea SW11</t>
        </is>
      </c>
      <c r="C90" s="183" t="inlineStr">
        <is>
          <t>Industrial</t>
        </is>
      </c>
      <c r="D90" s="182" t="inlineStr">
        <is>
          <t>Avanton</t>
        </is>
      </c>
      <c r="E90" s="183" t="inlineStr">
        <is>
          <t>Senior</t>
        </is>
      </c>
      <c r="F90" s="183" t="inlineStr">
        <is>
          <t>Bridge</t>
        </is>
      </c>
      <c r="G90" s="183" t="inlineStr">
        <is>
          <t>R</t>
        </is>
      </c>
      <c r="H90" s="185" t="n">
        <v>19.48</v>
      </c>
      <c r="I90" s="186" t="n"/>
      <c r="J90" s="185" t="n">
        <v>21.9</v>
      </c>
      <c r="K90" s="185" t="n">
        <v>29.2</v>
      </c>
      <c r="L90" s="187" t="n">
        <v>0.75</v>
      </c>
      <c r="M90" s="183" t="n">
        <v>18</v>
      </c>
      <c r="N90" s="188" t="n"/>
      <c r="O90" s="189" t="inlineStr">
        <is>
          <t>N</t>
        </is>
      </c>
      <c r="P90" s="183" t="inlineStr">
        <is>
          <t>N</t>
        </is>
      </c>
      <c r="Q90" s="184" t="inlineStr">
        <is>
          <t>Broker</t>
        </is>
      </c>
      <c r="R90" s="184" t="n"/>
      <c r="S90" s="158" t="n"/>
      <c r="T90" s="107" t="n"/>
      <c r="U90" s="107" t="n"/>
      <c r="V90" s="107" t="n"/>
    </row>
    <row r="91" ht="12.75" customFormat="1" customHeight="1" s="98">
      <c r="A91" s="181" t="n">
        <v>46113</v>
      </c>
      <c r="B91" s="190" t="inlineStr">
        <is>
          <t>80-85 Tottenham Court Rd, London W1T 4TB</t>
        </is>
      </c>
      <c r="C91" s="183" t="inlineStr">
        <is>
          <t>Office</t>
        </is>
      </c>
      <c r="D91" s="182" t="inlineStr">
        <is>
          <t>Purestone Capital / BPS London</t>
        </is>
      </c>
      <c r="E91" s="183" t="inlineStr">
        <is>
          <t>Mezz</t>
        </is>
      </c>
      <c r="F91" s="183" t="inlineStr">
        <is>
          <t>Bridge</t>
        </is>
      </c>
      <c r="G91" s="183" t="inlineStr">
        <is>
          <t>A</t>
        </is>
      </c>
      <c r="H91" s="185" t="n">
        <v>7.38</v>
      </c>
      <c r="I91" s="186" t="n">
        <v>2.6</v>
      </c>
      <c r="J91" s="185" t="n">
        <v>10</v>
      </c>
      <c r="K91" s="185" t="n">
        <v>32.6</v>
      </c>
      <c r="L91" s="187" t="n">
        <v>0.31</v>
      </c>
      <c r="M91" s="183" t="n">
        <v>26</v>
      </c>
      <c r="N91" s="188" t="n">
        <v>0.371</v>
      </c>
      <c r="O91" s="189" t="inlineStr">
        <is>
          <t>N</t>
        </is>
      </c>
      <c r="P91" s="183" t="inlineStr">
        <is>
          <t>N</t>
        </is>
      </c>
      <c r="Q91" s="184" t="inlineStr">
        <is>
          <t>Broker</t>
        </is>
      </c>
      <c r="R91" s="184" t="n"/>
      <c r="S91" s="158" t="n"/>
      <c r="T91" s="107" t="n"/>
      <c r="U91" s="107" t="n"/>
      <c r="V91" s="107" t="n"/>
    </row>
    <row r="92" ht="12.75" customFormat="1" customHeight="1" s="98">
      <c r="A92" s="181" t="n">
        <v>46204</v>
      </c>
      <c r="B92" s="190" t="inlineStr">
        <is>
          <t>Podiatry clinics, Bristol &amp; Bath (freeholds + trading business)</t>
        </is>
      </c>
      <c r="C92" s="183" t="inlineStr">
        <is>
          <t>Healthcare</t>
        </is>
      </c>
      <c r="D92" s="182" t="inlineStr">
        <is>
          <t>RAAM Healthcare (Morjaria family)</t>
        </is>
      </c>
      <c r="E92" s="183" t="inlineStr">
        <is>
          <t>Senior</t>
        </is>
      </c>
      <c r="F92" s="183" t="inlineStr">
        <is>
          <t>Bridge</t>
        </is>
      </c>
      <c r="G92" s="183" t="inlineStr">
        <is>
          <t>A</t>
        </is>
      </c>
      <c r="H92" s="185" t="n"/>
      <c r="I92" s="186" t="n"/>
      <c r="J92" s="185" t="n"/>
      <c r="K92" s="185" t="n"/>
      <c r="L92" s="187" t="n"/>
      <c r="M92" s="183" t="n"/>
      <c r="N92" s="188" t="n"/>
      <c r="O92" s="189" t="inlineStr">
        <is>
          <t>N</t>
        </is>
      </c>
      <c r="P92" s="183" t="inlineStr">
        <is>
          <t>N</t>
        </is>
      </c>
      <c r="Q92" s="184" t="inlineStr">
        <is>
          <t>Direct</t>
        </is>
      </c>
      <c r="R92" s="184" t="inlineStr">
        <is>
          <t>Declined 15/07 — acquisition of trading podiatry business (£1.1m PP, 3.3x EBITDA) with retail freeholds as security; REL not set up to underwrite trading business acquisitions.</t>
        </is>
      </c>
      <c r="S92" s="158" t="n"/>
    </row>
    <row r="93" ht="12.75" customFormat="1" customHeight="1" s="98">
      <c r="A93" s="181" t="n">
        <v>46235</v>
      </c>
      <c r="B93" s="190" t="inlineStr">
        <is>
          <t>Cardiff East Bay (CNM &amp; OUTPOST)</t>
        </is>
      </c>
      <c r="C93" s="183" t="n"/>
      <c r="D93" s="182" t="n"/>
      <c r="E93" s="183" t="n"/>
      <c r="F93" s="183" t="n"/>
      <c r="G93" s="183" t="n"/>
      <c r="H93" s="185" t="n"/>
      <c r="I93" s="186" t="n"/>
      <c r="J93" s="185" t="n"/>
      <c r="K93" s="185" t="n"/>
      <c r="L93" s="187" t="n"/>
      <c r="M93" s="183" t="n"/>
      <c r="N93" s="188" t="n"/>
      <c r="O93" s="189" t="n"/>
      <c r="P93" s="183" t="n"/>
      <c r="Q93" s="184" t="n"/>
      <c r="R93" s="184" t="n"/>
      <c r="S93" s="158" t="n"/>
      <c r="V93" s="0" t="inlineStr">
        <is>
          <t>Declined 28/08 - £9m bridge (Quanta/Dan Tisdall). Value reliant on residual appraisal without strong underlying EUV; outside criteria.</t>
        </is>
      </c>
    </row>
    <row r="94" ht="12.75" customFormat="1" customHeight="1" s="98">
      <c r="A94" s="181" t="n">
        <v>46266</v>
      </c>
      <c r="B94" s="190" t="inlineStr">
        <is>
          <t>2 x Bridging portfolio (regional)</t>
        </is>
      </c>
      <c r="C94" s="183" t="n"/>
      <c r="D94" s="182" t="n"/>
      <c r="E94" s="183" t="n"/>
      <c r="F94" s="183" t="n"/>
      <c r="G94" s="183" t="n"/>
      <c r="H94" s="185" t="n"/>
      <c r="I94" s="186" t="n"/>
      <c r="J94" s="185" t="n"/>
      <c r="K94" s="185" t="n"/>
      <c r="L94" s="187" t="n"/>
      <c r="M94" s="183" t="n"/>
      <c r="N94" s="188" t="n"/>
      <c r="O94" s="189" t="n"/>
      <c r="P94" s="183" t="n"/>
      <c r="Q94" s="184" t="n"/>
      <c r="R94" s="184" t="n"/>
      <c r="S94" s="158" t="n"/>
      <c r="V94" s="0" t="inlineStr">
        <is>
          <t>Declined 04/09 - £3.6m net (Mantra/Zahra). Regional assets + re-bridge with equity release; not for us.</t>
        </is>
      </c>
    </row>
    <row r="95" ht="12.75" customFormat="1" customHeight="1" s="98">
      <c r="A95" s="108" t="n"/>
      <c r="B95" s="108" t="n"/>
      <c r="C95" s="157" t="n"/>
      <c r="D95" s="108" t="n"/>
      <c r="E95" s="120" t="n"/>
      <c r="F95" s="120" t="n"/>
      <c r="G95" s="120" t="n"/>
      <c r="H95" s="121" t="n"/>
      <c r="I95" s="122" t="n"/>
      <c r="J95" s="121" t="n"/>
      <c r="K95" s="121" t="n"/>
      <c r="L95" s="123" t="n"/>
      <c r="M95" s="120" t="n"/>
      <c r="N95" s="124" t="n"/>
      <c r="O95" s="125" t="n"/>
      <c r="P95" s="120" t="n"/>
      <c r="Q95" s="108" t="n"/>
      <c r="R95" s="108" t="n"/>
    </row>
    <row r="96" ht="12.75" customFormat="1" customHeight="1" s="98">
      <c r="A96" s="127" t="inlineStr">
        <is>
          <t>Total</t>
        </is>
      </c>
      <c r="B96" s="127" t="n"/>
      <c r="C96" s="159" t="n"/>
      <c r="D96" s="160" t="n"/>
      <c r="E96" s="159" t="n"/>
      <c r="F96" s="159" t="n"/>
      <c r="G96" s="159" t="n"/>
      <c r="H96" s="130">
        <f>SUM(H5:H94)</f>
        <v/>
      </c>
      <c r="I96" s="130">
        <f>SUM(I5:I94)</f>
        <v/>
      </c>
      <c r="J96" s="130">
        <f>SUM(J5:J94)</f>
        <v/>
      </c>
      <c r="K96" s="130">
        <f>SUM(K5:K94)</f>
        <v/>
      </c>
      <c r="L96" s="131">
        <f>J96/K96</f>
        <v/>
      </c>
      <c r="M96" s="159" t="n"/>
      <c r="N96" s="161" t="n"/>
      <c r="O96" s="159" t="n"/>
      <c r="P96" s="159" t="n"/>
      <c r="Q96" s="160" t="n"/>
      <c r="R96" s="160" t="n"/>
    </row>
  </sheetData>
  <mergeCells count="1">
    <mergeCell ref="B3:C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3:X20"/>
  <sheetViews>
    <sheetView showFormulas="0" showGridLines="1" showRowColHeaders="1" showZeros="1" rightToLeft="0" tabSelected="0" showOutlineSymbols="1" defaultGridColor="1" view="normal" topLeftCell="C1" colorId="64" zoomScale="100" zoomScaleNormal="100" zoomScalePageLayoutView="100" workbookViewId="0">
      <selection pane="topLeft" activeCell="H8" activeCellId="0" sqref="H8"/>
    </sheetView>
  </sheetViews>
  <sheetFormatPr baseColWidth="8" defaultColWidth="8.70703125" defaultRowHeight="12.75" zeroHeight="0" outlineLevelRow="0"/>
  <cols>
    <col width="39.28" customWidth="1" style="167" min="1" max="1"/>
    <col width="12.72" customWidth="1" style="167" min="2" max="20"/>
    <col width="8.710000000000001" customWidth="1" style="167" min="21" max="16384"/>
  </cols>
  <sheetData>
    <row r="3" ht="28.5" customFormat="1" customHeight="1" s="98">
      <c r="A3" s="168" t="inlineStr">
        <is>
          <t>Redeemed Loans</t>
        </is>
      </c>
      <c r="B3" s="110" t="n"/>
      <c r="C3" s="147" t="n"/>
      <c r="D3" s="144" t="n"/>
      <c r="E3" s="147" t="n"/>
      <c r="F3" s="169" t="n"/>
      <c r="G3" s="169" t="n"/>
      <c r="H3" s="170" t="n"/>
      <c r="I3" s="171" t="n"/>
      <c r="J3" s="170" t="n"/>
      <c r="K3" s="170" t="n"/>
      <c r="L3" s="172" t="n"/>
      <c r="M3" s="169" t="n"/>
      <c r="N3" s="173" t="n"/>
      <c r="O3" s="194" t="n"/>
      <c r="P3" s="173" t="n"/>
      <c r="Q3" s="147" t="n"/>
      <c r="R3" s="147" t="n"/>
      <c r="S3" s="144" t="n"/>
      <c r="T3" s="144" t="n"/>
      <c r="U3" s="107" t="n"/>
      <c r="V3" s="107" t="n"/>
      <c r="W3" s="107" t="n"/>
    </row>
    <row r="4" ht="38.25" customFormat="1" customHeight="1" s="98">
      <c r="A4" s="111" t="inlineStr">
        <is>
          <t>Property Address</t>
        </is>
      </c>
      <c r="B4" s="112" t="inlineStr">
        <is>
          <t>Asset Class</t>
        </is>
      </c>
      <c r="C4" s="114" t="inlineStr">
        <is>
          <t>No of Units</t>
        </is>
      </c>
      <c r="D4" s="113" t="inlineStr">
        <is>
          <t>Borrower/JV Partner</t>
        </is>
      </c>
      <c r="E4" s="114" t="inlineStr">
        <is>
          <t>Senior/
Mezz/ 
Pref</t>
        </is>
      </c>
      <c r="F4" s="114" t="inlineStr">
        <is>
          <t>Deal Type</t>
        </is>
      </c>
      <c r="G4" s="114" t="n"/>
      <c r="H4" s="115" t="inlineStr">
        <is>
          <t>Net Loan (£mn)</t>
        </is>
      </c>
      <c r="I4" s="116" t="inlineStr">
        <is>
          <t>REL Return 
(£mn)</t>
        </is>
      </c>
      <c r="J4" s="115" t="inlineStr">
        <is>
          <t>Gross Loan (£mn)</t>
        </is>
      </c>
      <c r="K4" s="115" t="inlineStr">
        <is>
          <t>Collateral Value (£mn)</t>
        </is>
      </c>
      <c r="L4" s="117" t="inlineStr">
        <is>
          <t>LTV</t>
        </is>
      </c>
      <c r="M4" s="114" t="inlineStr">
        <is>
          <t>Length (Months)</t>
        </is>
      </c>
      <c r="N4" s="118" t="inlineStr">
        <is>
          <t>IRR 
Return</t>
        </is>
      </c>
      <c r="O4" s="118" t="inlineStr">
        <is>
          <t>Likely timing of drawdown</t>
        </is>
      </c>
      <c r="P4" s="118" t="inlineStr">
        <is>
          <t>PG/
Additional Security</t>
        </is>
      </c>
      <c r="Q4" s="114" t="inlineStr">
        <is>
          <t>Term Sheet Issued</t>
        </is>
      </c>
      <c r="R4" s="114" t="inlineStr">
        <is>
          <t>Commitment Fee Received</t>
        </is>
      </c>
      <c r="S4" s="113" t="inlineStr">
        <is>
          <t>Broker / Direct</t>
        </is>
      </c>
      <c r="T4" s="113" t="inlineStr">
        <is>
          <t>Comments</t>
        </is>
      </c>
      <c r="U4" s="0" t="inlineStr">
        <is>
          <t>Introducer</t>
        </is>
      </c>
      <c r="V4" s="0" t="inlineStr">
        <is>
          <t>REL Share (£mn)</t>
        </is>
      </c>
    </row>
    <row r="5" ht="12.75" customFormat="1" customHeight="1" s="98">
      <c r="A5" s="108" t="inlineStr">
        <is>
          <t>Appold</t>
        </is>
      </c>
      <c r="B5" s="129" t="inlineStr">
        <is>
          <t>Office</t>
        </is>
      </c>
      <c r="C5" s="120" t="n">
        <v>1</v>
      </c>
      <c r="D5" s="108" t="inlineStr">
        <is>
          <t>Giant Mind UK Ltd (Cohort)</t>
        </is>
      </c>
      <c r="E5" s="120" t="inlineStr">
        <is>
          <t>Senior</t>
        </is>
      </c>
      <c r="F5" s="120" t="inlineStr">
        <is>
          <t>Bridge</t>
        </is>
      </c>
      <c r="G5" s="120" t="inlineStr">
        <is>
          <t>R</t>
        </is>
      </c>
      <c r="H5" s="121" t="n">
        <v>4.214</v>
      </c>
      <c r="I5" s="122" t="n">
        <v>1.003</v>
      </c>
      <c r="J5" s="121" t="n">
        <v>4.43</v>
      </c>
      <c r="K5" s="121" t="n">
        <v>40.2</v>
      </c>
      <c r="L5" s="123" t="n">
        <v>0.54</v>
      </c>
      <c r="M5" s="120" t="n">
        <v>18</v>
      </c>
      <c r="N5" s="124" t="n">
        <v>0.16</v>
      </c>
      <c r="O5" s="120" t="inlineStr">
        <is>
          <t>Jun 2023</t>
        </is>
      </c>
      <c r="P5" s="120" t="inlineStr">
        <is>
          <t>PG</t>
        </is>
      </c>
      <c r="Q5" s="125" t="inlineStr">
        <is>
          <t>Yes</t>
        </is>
      </c>
      <c r="R5" s="120" t="inlineStr">
        <is>
          <t>Yes</t>
        </is>
      </c>
      <c r="S5" s="108" t="inlineStr">
        <is>
          <t>Broker</t>
        </is>
      </c>
      <c r="T5" s="108" t="inlineStr">
        <is>
          <t>Redeemed 15/12/24 (Appold St). Whole loan £21.07m with Cohort; REL share £4.214m.</t>
        </is>
      </c>
      <c r="U5" s="195" t="inlineStr">
        <is>
          <t>Alexey</t>
        </is>
      </c>
      <c r="V5" s="107" t="n">
        <v>4.214</v>
      </c>
      <c r="W5" s="107" t="n"/>
      <c r="X5" s="107" t="n"/>
    </row>
    <row r="6" ht="12.75" customFormat="1" customHeight="1" s="98">
      <c r="A6" s="108" t="inlineStr">
        <is>
          <t>72 Park St</t>
        </is>
      </c>
      <c r="B6" s="129" t="inlineStr">
        <is>
          <t>TBC</t>
        </is>
      </c>
      <c r="C6" s="120" t="n"/>
      <c r="D6" s="108" t="inlineStr">
        <is>
          <t>SSK 72 PS Limited (Icewell)</t>
        </is>
      </c>
      <c r="E6" s="120" t="inlineStr">
        <is>
          <t>Senior</t>
        </is>
      </c>
      <c r="F6" s="120" t="inlineStr">
        <is>
          <t>Bridge</t>
        </is>
      </c>
      <c r="G6" s="120" t="inlineStr">
        <is>
          <t>R</t>
        </is>
      </c>
      <c r="H6" s="121" t="n">
        <v>2.24</v>
      </c>
      <c r="I6" s="122" t="n">
        <v>0.524</v>
      </c>
      <c r="J6" s="121" t="n">
        <v>5.6</v>
      </c>
      <c r="K6" s="121" t="n">
        <v>8</v>
      </c>
      <c r="L6" s="123" t="n">
        <v>0.7</v>
      </c>
      <c r="M6" s="120" t="n">
        <v>9</v>
      </c>
      <c r="N6" s="124" t="n"/>
      <c r="O6" s="120" t="inlineStr">
        <is>
          <t>Mar 2024</t>
        </is>
      </c>
      <c r="P6" s="120" t="n"/>
      <c r="Q6" s="125" t="inlineStr">
        <is>
          <t>Yes</t>
        </is>
      </c>
      <c r="R6" s="120" t="inlineStr">
        <is>
          <t>Yes</t>
        </is>
      </c>
      <c r="S6" s="108" t="inlineStr">
        <is>
          <t>Broker</t>
        </is>
      </c>
      <c r="T6" s="108" t="inlineStr">
        <is>
          <t>Redeemed 04/12/24. Whole loan £5.6m with Icewell; REL share £2.24m. Asset class TBC.</t>
        </is>
      </c>
      <c r="U6" s="195" t="n"/>
      <c r="V6" s="107" t="n">
        <v>2.24</v>
      </c>
      <c r="W6" s="107" t="n"/>
      <c r="X6" s="107" t="n"/>
    </row>
    <row r="7" ht="12.75" customFormat="1" customHeight="1" s="98">
      <c r="A7" s="108" t="inlineStr">
        <is>
          <t>Grove / Hick</t>
        </is>
      </c>
      <c r="B7" s="129" t="inlineStr">
        <is>
          <t>TBC</t>
        </is>
      </c>
      <c r="C7" s="120" t="n"/>
      <c r="D7" s="108" t="inlineStr">
        <is>
          <t>RAK Assets Limited</t>
        </is>
      </c>
      <c r="E7" s="120" t="inlineStr">
        <is>
          <t>Senior</t>
        </is>
      </c>
      <c r="F7" s="120" t="inlineStr">
        <is>
          <t>Bridge</t>
        </is>
      </c>
      <c r="G7" s="120" t="inlineStr">
        <is>
          <t>R</t>
        </is>
      </c>
      <c r="H7" s="121" t="n">
        <v>3.5775</v>
      </c>
      <c r="I7" s="122" t="n">
        <v>0.579</v>
      </c>
      <c r="J7" s="121" t="n">
        <v>3.5775</v>
      </c>
      <c r="K7" s="121" t="n">
        <v>6.345</v>
      </c>
      <c r="L7" s="123" t="n">
        <v>0.5638</v>
      </c>
      <c r="M7" s="120" t="n">
        <v>15</v>
      </c>
      <c r="N7" s="124" t="n"/>
      <c r="O7" s="120" t="inlineStr">
        <is>
          <t>Apr 2024</t>
        </is>
      </c>
      <c r="P7" s="120" t="n"/>
      <c r="Q7" s="125" t="inlineStr">
        <is>
          <t>Yes</t>
        </is>
      </c>
      <c r="R7" s="120" t="inlineStr">
        <is>
          <t>Yes</t>
        </is>
      </c>
      <c r="S7" s="108" t="inlineStr">
        <is>
          <t>Broker</t>
        </is>
      </c>
      <c r="T7" s="108" t="inlineStr">
        <is>
          <t>Redeemed 25/07/25. REL sole lender, no syndication partner.</t>
        </is>
      </c>
      <c r="U7" s="195" t="n"/>
      <c r="V7" s="107" t="n">
        <v>3.5775</v>
      </c>
      <c r="W7" s="107" t="n"/>
      <c r="X7" s="107" t="n"/>
    </row>
    <row r="8" ht="12.75" customFormat="1" customHeight="1" s="98">
      <c r="A8" s="108" t="inlineStr">
        <is>
          <t>Sunderland Doxford</t>
        </is>
      </c>
      <c r="B8" s="129" t="inlineStr">
        <is>
          <t>Office</t>
        </is>
      </c>
      <c r="C8" s="120" t="n">
        <v>1</v>
      </c>
      <c r="D8" s="108" t="inlineStr">
        <is>
          <t>Oryx 2 Real Estate (Oak North)</t>
        </is>
      </c>
      <c r="E8" s="120" t="inlineStr">
        <is>
          <t>Senior</t>
        </is>
      </c>
      <c r="F8" s="120" t="inlineStr">
        <is>
          <t>Bridge</t>
        </is>
      </c>
      <c r="G8" s="120" t="inlineStr">
        <is>
          <t>R</t>
        </is>
      </c>
      <c r="H8" s="121" t="n">
        <v>1.3125</v>
      </c>
      <c r="I8" s="122" t="n">
        <v>0.541</v>
      </c>
      <c r="J8" s="121" t="n">
        <v>3.75</v>
      </c>
      <c r="K8" s="121" t="n">
        <v>6.25</v>
      </c>
      <c r="L8" s="123" t="n">
        <v>0.6</v>
      </c>
      <c r="M8" s="120" t="n">
        <v>24</v>
      </c>
      <c r="N8" s="124" t="n">
        <v>0.133</v>
      </c>
      <c r="O8" s="120" t="inlineStr">
        <is>
          <t>Oct 2023</t>
        </is>
      </c>
      <c r="P8" s="120" t="inlineStr">
        <is>
          <t>N/A</t>
        </is>
      </c>
      <c r="Q8" s="125" t="inlineStr">
        <is>
          <t>Yes</t>
        </is>
      </c>
      <c r="R8" s="120" t="inlineStr">
        <is>
          <t>Yes</t>
        </is>
      </c>
      <c r="S8" s="108" t="inlineStr">
        <is>
          <t>Broker</t>
        </is>
      </c>
      <c r="T8" s="108" t="inlineStr">
        <is>
          <t>Redeemed 09/03/26. Whole loan £3.75m with Oak North; REL share £1.3125m. Supersedes the earlier £4.0m figure, which did not match the forecast model.</t>
        </is>
      </c>
      <c r="U8" s="195" t="inlineStr">
        <is>
          <t>Mantra</t>
        </is>
      </c>
      <c r="V8" s="107" t="n">
        <v>1.3125</v>
      </c>
      <c r="W8" s="107" t="n"/>
      <c r="X8" s="107" t="n"/>
    </row>
    <row r="9" ht="12.75" customFormat="1" customHeight="1" s="98">
      <c r="A9" s="108" t="inlineStr">
        <is>
          <t>St Clements House</t>
        </is>
      </c>
      <c r="B9" s="129" t="inlineStr">
        <is>
          <t>Office</t>
        </is>
      </c>
      <c r="C9" s="120" t="n"/>
      <c r="D9" s="108" t="inlineStr">
        <is>
          <t>Chart Forte Monument</t>
        </is>
      </c>
      <c r="E9" s="120" t="inlineStr">
        <is>
          <t>Mezz</t>
        </is>
      </c>
      <c r="F9" s="120" t="inlineStr">
        <is>
          <t>Bridge</t>
        </is>
      </c>
      <c r="G9" s="120" t="inlineStr">
        <is>
          <t>R</t>
        </is>
      </c>
      <c r="H9" s="121" t="n">
        <v>23.792</v>
      </c>
      <c r="I9" s="122" t="n"/>
      <c r="J9" s="121" t="n">
        <v>23.792</v>
      </c>
      <c r="K9" s="121" t="n">
        <v>33.3</v>
      </c>
      <c r="L9" s="123" t="n">
        <v>0.7145</v>
      </c>
      <c r="M9" s="120" t="n">
        <v>18</v>
      </c>
      <c r="N9" s="124" t="n"/>
      <c r="O9" s="120" t="inlineStr">
        <is>
          <t>Dec 2024</t>
        </is>
      </c>
      <c r="P9" s="120" t="n"/>
      <c r="Q9" s="125" t="inlineStr">
        <is>
          <t>Yes</t>
        </is>
      </c>
      <c r="R9" s="120" t="inlineStr">
        <is>
          <t>Yes</t>
        </is>
      </c>
      <c r="S9" s="108" t="inlineStr">
        <is>
          <t>Broker</t>
        </is>
      </c>
      <c r="T9" s="108" t="inlineStr">
        <is>
          <t>Redeemed 2026. Drew 16/12/24 on an 18-month term. REL Finance / Oak North; REL held the mezz, £2.144m of a £23.792m whole loan.</t>
        </is>
      </c>
      <c r="U9" s="195" t="inlineStr">
        <is>
          <t>TBC</t>
        </is>
      </c>
      <c r="V9" s="107" t="n">
        <v>2.144</v>
      </c>
      <c r="W9" s="107" t="n"/>
      <c r="X9" s="107" t="n"/>
    </row>
    <row r="10" ht="12.75" customFormat="1" customHeight="1" s="98">
      <c r="A10" s="127" t="inlineStr">
        <is>
          <t>Total (redeemed)</t>
        </is>
      </c>
      <c r="B10" s="159" t="n"/>
      <c r="C10" s="159" t="n"/>
      <c r="D10" s="160" t="n"/>
      <c r="E10" s="159" t="n"/>
      <c r="F10" s="159" t="n"/>
      <c r="G10" s="159" t="n"/>
      <c r="H10" s="130">
        <f>SUM(H5:H9)</f>
        <v/>
      </c>
      <c r="I10" s="130">
        <f>SUM(I5:I9)</f>
        <v/>
      </c>
      <c r="J10" s="130">
        <f>SUM(J5:J9)</f>
        <v/>
      </c>
      <c r="K10" s="130">
        <f>SUM(K5:K9)</f>
        <v/>
      </c>
      <c r="L10" s="131">
        <f>J10/K10</f>
        <v/>
      </c>
      <c r="M10" s="159" t="n"/>
      <c r="N10" s="161" t="n"/>
      <c r="O10" s="161" t="n"/>
      <c r="P10" s="161" t="n"/>
      <c r="Q10" s="159" t="n"/>
      <c r="R10" s="159" t="n"/>
      <c r="S10" s="160" t="n"/>
      <c r="T10" s="160" t="n"/>
      <c r="V10" s="0">
        <f>SUM(V5:V9)</f>
        <v/>
      </c>
    </row>
    <row r="12">
      <c r="A12" s="0" t="inlineStr">
        <is>
          <t>DRAWN — NOT YET REDEEMED</t>
        </is>
      </c>
    </row>
    <row r="13">
      <c r="A13" s="111" t="inlineStr">
        <is>
          <t>Property Address</t>
        </is>
      </c>
      <c r="B13" s="112" t="inlineStr">
        <is>
          <t>Asset Class</t>
        </is>
      </c>
      <c r="C13" s="114" t="inlineStr">
        <is>
          <t>No of Units</t>
        </is>
      </c>
      <c r="D13" s="113" t="inlineStr">
        <is>
          <t>Borrower/JV Partner</t>
        </is>
      </c>
      <c r="E13" s="114" t="inlineStr">
        <is>
          <t>Senior/
Mezz/ 
Pref</t>
        </is>
      </c>
      <c r="F13" s="114" t="inlineStr">
        <is>
          <t>Deal Type</t>
        </is>
      </c>
      <c r="G13" s="114" t="n"/>
      <c r="H13" s="115" t="inlineStr">
        <is>
          <t>Net Loan (£mn)</t>
        </is>
      </c>
      <c r="I13" s="116" t="inlineStr">
        <is>
          <t>REL Return 
(£mn)</t>
        </is>
      </c>
      <c r="J13" s="115" t="inlineStr">
        <is>
          <t>Gross Loan (£mn)</t>
        </is>
      </c>
      <c r="K13" s="115" t="inlineStr">
        <is>
          <t>Collateral Value (£mn)</t>
        </is>
      </c>
      <c r="L13" s="117" t="inlineStr">
        <is>
          <t>LTV</t>
        </is>
      </c>
      <c r="M13" s="114" t="inlineStr">
        <is>
          <t>Length (Months)</t>
        </is>
      </c>
      <c r="N13" s="118" t="inlineStr">
        <is>
          <t>IRR 
Return</t>
        </is>
      </c>
      <c r="O13" s="118" t="inlineStr">
        <is>
          <t>Likely timing of drawdown</t>
        </is>
      </c>
      <c r="P13" s="118" t="inlineStr">
        <is>
          <t>PG/
Additional Security</t>
        </is>
      </c>
      <c r="Q13" s="114" t="inlineStr">
        <is>
          <t>Term Sheet Issued</t>
        </is>
      </c>
      <c r="R13" s="114" t="inlineStr">
        <is>
          <t>Commitment Fee Received</t>
        </is>
      </c>
      <c r="S13" s="113" t="inlineStr">
        <is>
          <t>Broker / Direct</t>
        </is>
      </c>
      <c r="T13" s="113" t="inlineStr">
        <is>
          <t>Comments</t>
        </is>
      </c>
      <c r="U13" s="0" t="inlineStr">
        <is>
          <t>Introducer</t>
        </is>
      </c>
      <c r="V13" s="0" t="inlineStr">
        <is>
          <t>REL Share (£mn)</t>
        </is>
      </c>
    </row>
    <row r="14">
      <c r="A14" s="108" t="inlineStr">
        <is>
          <t>Palace Green</t>
        </is>
      </c>
      <c r="B14" s="129" t="inlineStr">
        <is>
          <t>Resi</t>
        </is>
      </c>
      <c r="C14" s="120" t="n"/>
      <c r="D14" s="108" t="inlineStr">
        <is>
          <t>Ali Ansari (HNW Investor)</t>
        </is>
      </c>
      <c r="E14" s="120" t="inlineStr">
        <is>
          <t>Senior</t>
        </is>
      </c>
      <c r="F14" s="120" t="inlineStr">
        <is>
          <t>Bridge</t>
        </is>
      </c>
      <c r="G14" s="120" t="inlineStr">
        <is>
          <t>R</t>
        </is>
      </c>
      <c r="H14" s="121" t="n">
        <v>6.7</v>
      </c>
      <c r="I14" s="122" t="n"/>
      <c r="J14" s="121" t="n">
        <v>6.7</v>
      </c>
      <c r="K14" s="121" t="n">
        <v>16.5</v>
      </c>
      <c r="L14" s="123" t="n">
        <v>0.406</v>
      </c>
      <c r="M14" s="120" t="n">
        <v>12</v>
      </c>
      <c r="N14" s="124" t="n"/>
      <c r="O14" s="120" t="inlineStr">
        <is>
          <t>Dec 2024</t>
        </is>
      </c>
      <c r="P14" s="120" t="n"/>
      <c r="Q14" s="125" t="inlineStr">
        <is>
          <t>Yes</t>
        </is>
      </c>
      <c r="R14" s="120" t="inlineStr">
        <is>
          <t>Yes</t>
        </is>
      </c>
      <c r="S14" s="108" t="inlineStr">
        <is>
          <t>Broker</t>
        </is>
      </c>
      <c r="T14" s="108" t="inlineStr">
        <is>
          <t>Drew 20/12/24, 12-month term, expired 10/09/26. IN DEFAULT — balance accruing, now £7.064m against £6.7m advanced. REL Lendco 3 / HNW Investor. LTV 40.6% net, 54.5% gross on MV £16.5m.</t>
        </is>
      </c>
      <c r="U14" s="195" t="inlineStr">
        <is>
          <t>TBC</t>
        </is>
      </c>
      <c r="V14" s="107" t="n">
        <v>6.7</v>
      </c>
      <c r="W14" s="107" t="n"/>
      <c r="X14" s="107" t="n"/>
    </row>
    <row r="15">
      <c r="A15" s="108" t="n"/>
      <c r="B15" s="129" t="n"/>
      <c r="C15" s="120" t="n"/>
      <c r="D15" s="108" t="n"/>
      <c r="E15" s="120" t="n"/>
      <c r="F15" s="120" t="n"/>
      <c r="G15" s="120" t="n"/>
      <c r="H15" s="121" t="n"/>
      <c r="I15" s="122" t="n"/>
      <c r="J15" s="121" t="n"/>
      <c r="K15" s="121" t="n"/>
      <c r="L15" s="123" t="n"/>
      <c r="M15" s="120" t="n"/>
      <c r="N15" s="124" t="n"/>
      <c r="O15" s="120" t="n"/>
      <c r="P15" s="120" t="n"/>
      <c r="Q15" s="125" t="n"/>
      <c r="R15" s="120" t="n"/>
      <c r="S15" s="108" t="n"/>
      <c r="T15" s="108" t="n"/>
      <c r="U15" s="195" t="n"/>
      <c r="V15" s="107" t="n"/>
      <c r="W15" s="107" t="n"/>
      <c r="X15" s="107" t="n"/>
    </row>
    <row r="16">
      <c r="A16" s="108" t="inlineStr">
        <is>
          <t>Uxbridge</t>
        </is>
      </c>
      <c r="B16" s="129" t="inlineStr">
        <is>
          <t>Mixed Use</t>
        </is>
      </c>
      <c r="C16" s="120" t="n">
        <v>481</v>
      </c>
      <c r="D16" s="108" t="inlineStr">
        <is>
          <t>DNA Property Partners</t>
        </is>
      </c>
      <c r="E16" s="120" t="inlineStr">
        <is>
          <t>Mezz</t>
        </is>
      </c>
      <c r="F16" s="120" t="inlineStr">
        <is>
          <t>Bridge</t>
        </is>
      </c>
      <c r="G16" s="120" t="inlineStr">
        <is>
          <t>R</t>
        </is>
      </c>
      <c r="H16" s="121" t="n">
        <v>8.199999999999999</v>
      </c>
      <c r="I16" s="122" t="n">
        <v>1.69</v>
      </c>
      <c r="J16" s="121" t="n">
        <v>8.199999999999999</v>
      </c>
      <c r="K16" s="121" t="n">
        <v>14</v>
      </c>
      <c r="L16" s="123" t="n">
        <v>0.5857</v>
      </c>
      <c r="M16" s="120" t="n">
        <v>12</v>
      </c>
      <c r="N16" s="124" t="n">
        <v>0.1469</v>
      </c>
      <c r="O16" s="120" t="inlineStr">
        <is>
          <t>Aug 2025</t>
        </is>
      </c>
      <c r="P16" s="120" t="inlineStr">
        <is>
          <t>No</t>
        </is>
      </c>
      <c r="Q16" s="125" t="inlineStr">
        <is>
          <t>Yes</t>
        </is>
      </c>
      <c r="R16" s="120" t="inlineStr">
        <is>
          <t>Yes</t>
        </is>
      </c>
      <c r="S16" s="108" t="inlineStr">
        <is>
          <t>Broker</t>
        </is>
      </c>
      <c r="T16" s="108" t="inlineStr">
        <is>
          <t>Drew 01/08/25, 12-month term. NOT redeemed — past maturity 31/07/26. Extension documented by Osborne Clarke; chased 15/09, still awaiting a substantive response from Forsters. REL Lendco 4 / GB Bank; REL mezz £2.05m of an £8.2m whole loan.</t>
        </is>
      </c>
      <c r="U16" s="195" t="inlineStr">
        <is>
          <t>Jay Bohgal</t>
        </is>
      </c>
      <c r="V16" s="107" t="n">
        <v>2.05</v>
      </c>
      <c r="W16" s="107" t="n"/>
      <c r="X16" s="107" t="n"/>
    </row>
    <row r="17">
      <c r="A17" s="108" t="inlineStr">
        <is>
          <t>Stanmore</t>
        </is>
      </c>
      <c r="B17" s="129" t="inlineStr">
        <is>
          <t>Retirement living</t>
        </is>
      </c>
      <c r="C17" s="120" t="n">
        <v>23</v>
      </c>
      <c r="D17" s="108" t="inlineStr">
        <is>
          <t>Elysian Stanmore Site</t>
        </is>
      </c>
      <c r="E17" s="120" t="inlineStr">
        <is>
          <t>Mezz</t>
        </is>
      </c>
      <c r="F17" s="120" t="inlineStr">
        <is>
          <t>Bridge</t>
        </is>
      </c>
      <c r="G17" s="120" t="inlineStr">
        <is>
          <t>R</t>
        </is>
      </c>
      <c r="H17" s="121" t="n">
        <v>16.64</v>
      </c>
      <c r="I17" s="122" t="n">
        <v>2.244</v>
      </c>
      <c r="J17" s="121" t="n">
        <v>16.64</v>
      </c>
      <c r="K17" s="121" t="n">
        <v>22.53</v>
      </c>
      <c r="L17" s="123" t="n">
        <v>0.739</v>
      </c>
      <c r="M17" s="120" t="n">
        <v>15</v>
      </c>
      <c r="N17" s="124" t="n">
        <v>0.123</v>
      </c>
      <c r="O17" s="120" t="inlineStr">
        <is>
          <t>Sep 2025</t>
        </is>
      </c>
      <c r="P17" s="120" t="inlineStr">
        <is>
          <t>N</t>
        </is>
      </c>
      <c r="Q17" s="125" t="inlineStr">
        <is>
          <t>Yes</t>
        </is>
      </c>
      <c r="R17" s="120" t="inlineStr">
        <is>
          <t>Yes</t>
        </is>
      </c>
      <c r="S17" s="108" t="inlineStr">
        <is>
          <t>Direct</t>
        </is>
      </c>
      <c r="T17" s="108" t="inlineStr">
        <is>
          <t>Drew 17/09/25, 15-month term to 17/03/27. COVENANT BREACH — cure period extended to 28/09/26 by Oak North. Curing via long-leasehold transfers: 70 Echinops and 101 Zinnia completed, Rhododendron sale approved at 92% of MV on 16/09. REL Lendco 5 / Oak North; REL mezz £4.39m, current balance £3.195m.</t>
        </is>
      </c>
      <c r="U17" s="195" t="inlineStr">
        <is>
          <t>Deepesh</t>
        </is>
      </c>
      <c r="V17" s="107" t="n">
        <v>4.39</v>
      </c>
      <c r="W17" s="107" t="n"/>
      <c r="X17" s="107" t="n"/>
    </row>
    <row r="18">
      <c r="A18" s="108" t="inlineStr">
        <is>
          <t>Peninsular House</t>
        </is>
      </c>
      <c r="B18" s="129" t="inlineStr">
        <is>
          <t>Office</t>
        </is>
      </c>
      <c r="C18" s="120" t="n"/>
      <c r="D18" s="108" t="inlineStr">
        <is>
          <t>Peninsular House (sponsor JMK)</t>
        </is>
      </c>
      <c r="E18" s="120" t="inlineStr">
        <is>
          <t>Mezz</t>
        </is>
      </c>
      <c r="F18" s="120" t="inlineStr">
        <is>
          <t>Bridge</t>
        </is>
      </c>
      <c r="G18" s="120" t="inlineStr">
        <is>
          <t>A</t>
        </is>
      </c>
      <c r="H18" s="121" t="n">
        <v>25.025</v>
      </c>
      <c r="I18" s="122" t="n"/>
      <c r="J18" s="121" t="n">
        <v>25.025</v>
      </c>
      <c r="K18" s="121" t="n">
        <v>35</v>
      </c>
      <c r="L18" s="123" t="n">
        <v>0.715</v>
      </c>
      <c r="M18" s="120" t="n">
        <v>24</v>
      </c>
      <c r="N18" s="124" t="n"/>
      <c r="O18" s="120" t="inlineStr">
        <is>
          <t>Mar 2026</t>
        </is>
      </c>
      <c r="P18" s="120" t="n"/>
      <c r="Q18" s="125" t="inlineStr">
        <is>
          <t>Yes</t>
        </is>
      </c>
      <c r="R18" s="120" t="inlineStr">
        <is>
          <t>Yes</t>
        </is>
      </c>
      <c r="S18" s="108" t="inlineStr">
        <is>
          <t>Broker</t>
        </is>
      </c>
      <c r="T18" s="108" t="inlineStr">
        <is>
          <t>Drew 13/03/26, 24-month term to 12/03/28. Newest loan. REL Finance / Oak North; REL mezz £3.15m of a £25.025m whole loan. LTV 71.5% on MV £35m.</t>
        </is>
      </c>
      <c r="U18" s="195" t="inlineStr">
        <is>
          <t>TBC</t>
        </is>
      </c>
      <c r="V18" s="107" t="n">
        <v>3.15</v>
      </c>
      <c r="W18" s="107" t="n"/>
      <c r="X18" s="107" t="n"/>
    </row>
    <row r="20">
      <c r="A20" s="0" t="inlineStr">
        <is>
          <t>Total (drawn)</t>
        </is>
      </c>
      <c r="H20" s="0">
        <f>SUM(H14:H18)</f>
        <v/>
      </c>
      <c r="I20" s="0">
        <f>SUM(I14:I18)</f>
        <v/>
      </c>
      <c r="J20" s="0">
        <f>SUM(J14:J18)</f>
        <v/>
      </c>
      <c r="K20" s="0">
        <f>SUM(K14:K18)</f>
        <v/>
      </c>
      <c r="L20" s="0">
        <f>J20/K20</f>
        <v/>
      </c>
      <c r="V20" s="0">
        <f>SUM(V14:V18)</f>
        <v/>
      </c>
    </row>
  </sheetData>
  <mergeCells count="1">
    <mergeCell ref="A3:B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Michelle Horrigan</dc:creator>
  <dc:language>en-US</dc:language>
  <dcterms:created xsi:type="dcterms:W3CDTF">2010-11-25T10:55:17Z</dcterms:created>
  <dcterms:modified xsi:type="dcterms:W3CDTF">2026-09-17T14:40:08Z</dcterms:modified>
  <cp:lastModifiedBy>Shyam Lakhani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0x010100EC7A1802AA00BD409935ED7F9BD8B9E5</vt:lpwstr>
  </property>
  <property name="MediaServiceImageTags" fmtid="{D5CDD505-2E9C-101B-9397-08002B2CF9AE}" pid="3">
    <vt:lpwstr/>
  </property>
</Properties>
</file>