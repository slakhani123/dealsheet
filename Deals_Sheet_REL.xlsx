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tential Deals" sheetId="1" state="visible" r:id="rId3"/>
    <sheet name="Declined Deals" sheetId="2" state="visible" r:id="rId4"/>
    <sheet name="Completed Deals" sheetId="3" state="visible" r:id="rId5"/>
  </sheets>
  <definedNames>
    <definedName function="false" hidden="false" localSheetId="0" name="_xlnm.Print_Area" vbProcedure="false">'Potential Deals'!$C$5:$R$17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<sst xmlns="http://schemas.openxmlformats.org/spreadsheetml/2006/main" count="1124" uniqueCount="362">
  <si>
    <t xml:space="preserve">REL Finance Deals Sheet </t>
  </si>
  <si>
    <t xml:space="preserve">In Legals</t>
  </si>
  <si>
    <t xml:space="preserve">Date Received</t>
  </si>
  <si>
    <t xml:space="preserve">Property Address</t>
  </si>
  <si>
    <t xml:space="preserve">Asset Class</t>
  </si>
  <si>
    <t xml:space="preserve">Borrower</t>
  </si>
  <si>
    <t xml:space="preserve">Senior/
Mezz/ 
Pref</t>
  </si>
  <si>
    <t xml:space="preserve">Deal Type</t>
  </si>
  <si>
    <t xml:space="preserve">Aquistion/ Refinance</t>
  </si>
  <si>
    <t xml:space="preserve">Net Loan (£m)</t>
  </si>
  <si>
    <t xml:space="preserve">REL Return 
(£m)</t>
  </si>
  <si>
    <t xml:space="preserve">Gross Loan (£m)</t>
  </si>
  <si>
    <t xml:space="preserve">Collateral Value (£m)</t>
  </si>
  <si>
    <t xml:space="preserve">LTV</t>
  </si>
  <si>
    <t xml:space="preserve">Length (Months)</t>
  </si>
  <si>
    <t xml:space="preserve">IRR 
Return</t>
  </si>
  <si>
    <t xml:space="preserve">Term Sheet Issued</t>
  </si>
  <si>
    <t xml:space="preserve">Commitment Fee Received</t>
  </si>
  <si>
    <t xml:space="preserve">Broker / Direct</t>
  </si>
  <si>
    <t xml:space="preserve">Comments</t>
  </si>
  <si>
    <t xml:space="preserve">Total</t>
  </si>
  <si>
    <t xml:space="preserve">EARLY STAGE / NEGOTIATING</t>
  </si>
  <si>
    <t xml:space="preserve">Flat A 46 Holland Park</t>
  </si>
  <si>
    <t xml:space="preserve">Hotel</t>
  </si>
  <si>
    <t xml:space="preserve">Westvile Securities</t>
  </si>
  <si>
    <t xml:space="preserve">Senior</t>
  </si>
  <si>
    <t xml:space="preserve">Bridge</t>
  </si>
  <si>
    <t xml:space="preserve">R</t>
  </si>
  <si>
    <t xml:space="preserve">N</t>
  </si>
  <si>
    <t xml:space="preserve">Broker</t>
  </si>
  <si>
    <t xml:space="preserve">Catch up with him</t>
  </si>
  <si>
    <t xml:space="preserve">Assembly London, 77 Fulham Palace Road, Hammersmith W6 8JA</t>
  </si>
  <si>
    <t xml:space="preserve">Office</t>
  </si>
  <si>
    <t xml:space="preserve">Refinance of existing lender. Planning uplift mentioned. GDV stated</t>
  </si>
  <si>
    <t xml:space="preserve">17 Dorset Square, NW1 6QB</t>
  </si>
  <si>
    <t xml:space="preserve">Amine Abid - UAE HNW</t>
  </si>
  <si>
    <t xml:space="preserve">GDV stated</t>
  </si>
  <si>
    <t xml:space="preserve">Eagle Tower, Cheltenham</t>
  </si>
  <si>
    <t xml:space="preserve">TBC / acquiring sponsor</t>
  </si>
  <si>
    <t xml:space="preserve">Y</t>
  </si>
  <si>
    <t xml:space="preserve">Regional office refinancing immediately after acquisition. </t>
  </si>
  <si>
    <t xml:space="preserve">TBC</t>
  </si>
  <si>
    <t xml:space="preserve">Bemal Patel</t>
  </si>
  <si>
    <t xml:space="preserve">REL indicative refinance terms issued</t>
  </si>
  <si>
    <t xml:space="preserve">Stouts Hill, Lampern Hill, Uley, Dursley, Gloucestershire GL11 5BT</t>
  </si>
  <si>
    <t xml:space="preserve">Residential / Country estate</t>
  </si>
  <si>
    <t xml:space="preserve">HNW offshore family trust / offshore company</t>
  </si>
  <si>
    <t xml:space="preserve">Refinance enquiry for Grade II* country home in Uley, Gloucestershire. </t>
  </si>
  <si>
    <t xml:space="preserve">Brighton Palace Pier, Brighton</t>
  </si>
  <si>
    <t xml:space="preserve">Leisure / Entertainment</t>
  </si>
  <si>
    <t xml:space="preserve">Expression Capital Partners / Elliot Hall</t>
  </si>
  <si>
    <t xml:space="preserve">A</t>
  </si>
  <si>
    <t xml:space="preserve">Acquisition of Brighton Palace Pier for £17.5m</t>
  </si>
  <si>
    <t xml:space="preserve">27 Gemini Business Park, Hornet Way, Beckton, E6 7FF</t>
  </si>
  <si>
    <t xml:space="preserve">Industrial</t>
  </si>
  <si>
    <t xml:space="preserve">New UK SPV / global mobility finance company</t>
  </si>
  <si>
    <t xml:space="preserve">Updated TS issued 14/07 at 62% LTV/LTPP (£6.82m day 1, 11.0% fixed, 1.25% fee) — TopCo guarantees/financials unavailable; rent charge + OpCo duty of care deed required. Awaiting countersigned TS and commitment fee.</t>
  </si>
  <si>
    <t xml:space="preserve">Fulham Island, Jerdan Place / Farm Lane, London SW6 1BE</t>
  </si>
  <si>
    <t xml:space="preserve">Mixed-use</t>
  </si>
  <si>
    <t xml:space="preserve">Leifer family / TBC</t>
  </si>
  <si>
    <t xml:space="preserve">Updated terms issued. </t>
  </si>
  <si>
    <t xml:space="preserve">Indigo Scott, Hammersmith</t>
  </si>
  <si>
    <t xml:space="preserve">Residential / Development</t>
  </si>
  <si>
    <t xml:space="preserve">Indigo Scott / Jeremy TBC</t>
  </si>
  <si>
    <t xml:space="preserve">Latest REL position caps gross loan at 68% LTV </t>
  </si>
  <si>
    <t xml:space="preserve">10-40 Ealing Broadway</t>
  </si>
  <si>
    <t xml:space="preserve">Retail</t>
  </si>
  <si>
    <t xml:space="preserve">High-level terms issued. Loan amount £15.0m at 58% LTV/LTPP. </t>
  </si>
  <si>
    <t xml:space="preserve">31-32 Rutland Gate &amp; 58-59 Montpelier Walk, SW7 1BN</t>
  </si>
  <si>
    <t xml:space="preserve">Resi (Super Prime)</t>
  </si>
  <si>
    <t xml:space="preserve">Four Square (Saudi investor equity)</t>
  </si>
  <si>
    <t xml:space="preserve">Enquiry 14/07 via Lee Neenan (Irwell). Acquisition of 4 adjacent houses c.£18.5m + £9m refurb, GDV £37m. REL indicated up to 75% LTV/LTPP acquisition bridge (no dev finance). Detailed info list sent 15/07 — awaiting pack.</t>
  </si>
  <si>
    <t xml:space="preserve">Houndswood House Care Home, Harper Lane, Radlett WD7 7HU</t>
  </si>
  <si>
    <t xml:space="preserve">Care Home</t>
  </si>
  <si>
    <t xml:space="preserve">Anahi Properties Ltd (Hindocha)</t>
  </si>
  <si>
    <t xml:space="preserve">Direct</t>
  </si>
  <si>
    <t xml:space="preserve">TS issued 09/07: 9.75% fixed, £92,625 interest reserve within facility, £9.5k arr fee + £4.75k exit fee, £280k joint PGs. Sized on 2024 KF VP value £2.5m / £3.5m 2024 purchase — no Red Book required. Refi of SBIUK £1.5m. Chased 16/07; offer valid to 30/07.</t>
  </si>
  <si>
    <t xml:space="preserve">Zone 2 PBSA, Dulwich ('Cresswick')</t>
  </si>
  <si>
    <t xml:space="preserve">PBSA / Student</t>
  </si>
  <si>
    <t xml:space="preserve">Cresswick</t>
  </si>
  <si>
    <t xml:space="preserve">Development</t>
  </si>
  <si>
    <t xml:space="preserve">DA received 17/07 via GLPG (Nick Swerner) / OakNorth (Hemesh Patel). 360-studio PBSA, GDV £148.6m, LTC 81%, LTGDV 61%, site PP £18.5m, 30-month term. Well above usual REL ticket — role for REL TBC (review).</t>
  </si>
  <si>
    <t xml:space="preserve">Dead Deals</t>
  </si>
  <si>
    <t xml:space="preserve">Borrower/JV Partner</t>
  </si>
  <si>
    <t xml:space="preserve">Net Loan (£mn)</t>
  </si>
  <si>
    <t xml:space="preserve">REL Return 
(£mn)</t>
  </si>
  <si>
    <t xml:space="preserve">Gross Loan (£mn)</t>
  </si>
  <si>
    <t xml:space="preserve">Collateral Value (£mn)</t>
  </si>
  <si>
    <t xml:space="preserve">Hams Hall</t>
  </si>
  <si>
    <t xml:space="preserve">Rocket </t>
  </si>
  <si>
    <t xml:space="preserve">No</t>
  </si>
  <si>
    <t xml:space="preserve">Went With Topland</t>
  </si>
  <si>
    <t xml:space="preserve">Burlington Gate</t>
  </si>
  <si>
    <t xml:space="preserve">Resi</t>
  </si>
  <si>
    <t xml:space="preserve">HNW</t>
  </si>
  <si>
    <t xml:space="preserve">Went With Prospect</t>
  </si>
  <si>
    <t xml:space="preserve">4C Aldgate </t>
  </si>
  <si>
    <t xml:space="preserve">4C/Rocket JV</t>
  </si>
  <si>
    <t xml:space="preserve">Did not progress</t>
  </si>
  <si>
    <t xml:space="preserve">Hub Cap Barbican</t>
  </si>
  <si>
    <t xml:space="preserve">Hub Cap</t>
  </si>
  <si>
    <t xml:space="preserve">Valaution to low</t>
  </si>
  <si>
    <t xml:space="preserve">Queensbridge Quarter Stratford</t>
  </si>
  <si>
    <t xml:space="preserve">Able Properties</t>
  </si>
  <si>
    <t xml:space="preserve">Did not win bid</t>
  </si>
  <si>
    <t xml:space="preserve">Hammersmith Grove</t>
  </si>
  <si>
    <t xml:space="preserve">Candour Properties</t>
  </si>
  <si>
    <t xml:space="preserve">Leverage to high </t>
  </si>
  <si>
    <t xml:space="preserve">Reading Resi</t>
  </si>
  <si>
    <t xml:space="preserve">Reeve</t>
  </si>
  <si>
    <t xml:space="preserve">Poor Borrower and high leverage</t>
  </si>
  <si>
    <t xml:space="preserve">Fountain House, Mayfair</t>
  </si>
  <si>
    <t xml:space="preserve">Seamic</t>
  </si>
  <si>
    <t xml:space="preserve">Yes</t>
  </si>
  <si>
    <t xml:space="preserve">Borrower suggesting pricing too high</t>
  </si>
  <si>
    <t xml:space="preserve">St Pancreas Chambers, Kings Cross</t>
  </si>
  <si>
    <t xml:space="preserve">bottaccio</t>
  </si>
  <si>
    <t xml:space="preserve">Borrower Reviewing Term Sheet</t>
  </si>
  <si>
    <t xml:space="preserve">Finsgate House, Old Street</t>
  </si>
  <si>
    <t xml:space="preserve">Rocket Properties</t>
  </si>
  <si>
    <t xml:space="preserve">Likely to go with Oak North and ASK </t>
  </si>
  <si>
    <t xml:space="preserve">45 Wilton Cresecent Belgravia</t>
  </si>
  <si>
    <t xml:space="preserve">Jane </t>
  </si>
  <si>
    <t xml:space="preserve">Has terms with Century Capital for higher loan amount</t>
  </si>
  <si>
    <t xml:space="preserve">St Andrews House, Liverpool</t>
  </si>
  <si>
    <t xml:space="preserve">Awaiting feedback from Broker</t>
  </si>
  <si>
    <t xml:space="preserve">London and Rochdale Portfolio</t>
  </si>
  <si>
    <t xml:space="preserve">Resi / Commercial</t>
  </si>
  <si>
    <t xml:space="preserve">Navana Real Estate</t>
  </si>
  <si>
    <t xml:space="preserve">Reviewing</t>
  </si>
  <si>
    <t xml:space="preserve">Northwood Church and Police Station</t>
  </si>
  <si>
    <t xml:space="preserve">D1 - cultural/non resi</t>
  </si>
  <si>
    <t xml:space="preserve">Iron Aid Foundation</t>
  </si>
  <si>
    <t xml:space="preserve">DNA Uxbridge</t>
  </si>
  <si>
    <t xml:space="preserve">DNA Partners</t>
  </si>
  <si>
    <t xml:space="preserve">Borrower has terms from other lender and is comparing</t>
  </si>
  <si>
    <t xml:space="preserve">Reading Office</t>
  </si>
  <si>
    <t xml:space="preserve">Elder</t>
  </si>
  <si>
    <t xml:space="preserve">Broker (James Grey)</t>
  </si>
  <si>
    <t xml:space="preserve">Awaiting Feedback on terms </t>
  </si>
  <si>
    <t xml:space="preserve">London Office Portfolio</t>
  </si>
  <si>
    <t xml:space="preserve">Bedrock</t>
  </si>
  <si>
    <t xml:space="preserve">Mezz</t>
  </si>
  <si>
    <t xml:space="preserve">Broker (Robert Sandler)</t>
  </si>
  <si>
    <t xml:space="preserve">Mercury Park Beaconsfield</t>
  </si>
  <si>
    <t xml:space="preserve">60 Upper Berkley Street</t>
  </si>
  <si>
    <t xml:space="preserve">Residential</t>
  </si>
  <si>
    <t xml:space="preserve">YES</t>
  </si>
  <si>
    <t xml:space="preserve">Broker (Opes)</t>
  </si>
  <si>
    <t xml:space="preserve">Obtaining Credit Approval</t>
  </si>
  <si>
    <t xml:space="preserve">68 Lombard Street </t>
  </si>
  <si>
    <t xml:space="preserve">Candour</t>
  </si>
  <si>
    <t xml:space="preserve">A </t>
  </si>
  <si>
    <t xml:space="preserve">56-60 Hallam Street</t>
  </si>
  <si>
    <t xml:space="preserve">Kinland</t>
  </si>
  <si>
    <t xml:space="preserve">Senior </t>
  </si>
  <si>
    <t xml:space="preserve">Birdge</t>
  </si>
  <si>
    <t xml:space="preserve">Broker (Arc &amp; Co)</t>
  </si>
  <si>
    <t xml:space="preserve">Hammersmith</t>
  </si>
  <si>
    <t xml:space="preserve">Atlis</t>
  </si>
  <si>
    <t xml:space="preserve">Upper Brook Street</t>
  </si>
  <si>
    <t xml:space="preserve">Seniore</t>
  </si>
  <si>
    <t xml:space="preserve">51 Eastcheap</t>
  </si>
  <si>
    <t xml:space="preserve">Longstock</t>
  </si>
  <si>
    <t xml:space="preserve">Disley, Cheshire</t>
  </si>
  <si>
    <t xml:space="preserve">Resdiential</t>
  </si>
  <si>
    <t xml:space="preserve">Rohit Patel</t>
  </si>
  <si>
    <t xml:space="preserve">Watford &amp; Willesden</t>
  </si>
  <si>
    <t xml:space="preserve">Resi &amp; Commercial</t>
  </si>
  <si>
    <t xml:space="preserve">Rabia Gardezi</t>
  </si>
  <si>
    <t xml:space="preserve">Darshan Daswani Fast Forward Capital</t>
  </si>
  <si>
    <t xml:space="preserve">Marble Arch &amp; Mayfair</t>
  </si>
  <si>
    <t xml:space="preserve">Ahmed Family</t>
  </si>
  <si>
    <t xml:space="preserve">Jack Collins</t>
  </si>
  <si>
    <t xml:space="preserve">Cheltenham</t>
  </si>
  <si>
    <t xml:space="preserve">Mondeche Limited</t>
  </si>
  <si>
    <t xml:space="preserve">Merry Oaks</t>
  </si>
  <si>
    <t xml:space="preserve">1 Westmoreland Bromley</t>
  </si>
  <si>
    <t xml:space="preserve">LLG</t>
  </si>
  <si>
    <t xml:space="preserve">Borrower did not require funds anymore</t>
  </si>
  <si>
    <t xml:space="preserve">James Grey ARE Capital Advisors</t>
  </si>
  <si>
    <t xml:space="preserve">Arthur Stanley House, Fitzrovia</t>
  </si>
  <si>
    <t xml:space="preserve">Westbook Partners</t>
  </si>
  <si>
    <t xml:space="preserve">Went with Mizho Bank</t>
  </si>
  <si>
    <t xml:space="preserve">Westbrook Partners</t>
  </si>
  <si>
    <t xml:space="preserve">67 Marsh Lane Canary Wharf</t>
  </si>
  <si>
    <t xml:space="preserve">Jasmine Sangma</t>
  </si>
  <si>
    <t xml:space="preserve">Darshan</t>
  </si>
  <si>
    <t xml:space="preserve">South Wodford</t>
  </si>
  <si>
    <t xml:space="preserve">Aslam Patel</t>
  </si>
  <si>
    <t xml:space="preserve">Rick Mantra</t>
  </si>
  <si>
    <t xml:space="preserve">76-80 Southwark Street</t>
  </si>
  <si>
    <t xml:space="preserve">Bhav Radia</t>
  </si>
  <si>
    <t xml:space="preserve">Edridge Place Corydon</t>
  </si>
  <si>
    <t xml:space="preserve">Sarwar Khawaja</t>
  </si>
  <si>
    <t xml:space="preserve">Garv</t>
  </si>
  <si>
    <t xml:space="preserve">Malton Road Industrial Estate</t>
  </si>
  <si>
    <t xml:space="preserve">Malton Road Developments </t>
  </si>
  <si>
    <t xml:space="preserve">Lionel B refereral</t>
  </si>
  <si>
    <t xml:space="preserve">Mrs Jasmine Sangama</t>
  </si>
  <si>
    <t xml:space="preserve">Sponsor PEP Concerns - declined</t>
  </si>
  <si>
    <t xml:space="preserve">One Croydon</t>
  </si>
  <si>
    <t xml:space="preserve">BHA Construction</t>
  </si>
  <si>
    <t xml:space="preserve">Went with Blue Shield</t>
  </si>
  <si>
    <t xml:space="preserve">Jay Bohgal</t>
  </si>
  <si>
    <t xml:space="preserve">271 Sanderston Road Croydon</t>
  </si>
  <si>
    <t xml:space="preserve">Artistics Homes Limited</t>
  </si>
  <si>
    <t xml:space="preserve">went dead</t>
  </si>
  <si>
    <t xml:space="preserve">Bhavik</t>
  </si>
  <si>
    <t xml:space="preserve">Wexham Springs</t>
  </si>
  <si>
    <t xml:space="preserve">Rednapp Family</t>
  </si>
  <si>
    <t xml:space="preserve">On Hold</t>
  </si>
  <si>
    <t xml:space="preserve">Deepesh Oak North</t>
  </si>
  <si>
    <t xml:space="preserve">Flat 11 2-3 Ladbroke Square</t>
  </si>
  <si>
    <t xml:space="preserve">77 Walton Street Limited &amp; 87-89 Walton Street </t>
  </si>
  <si>
    <t xml:space="preserve">Walton St Ltd</t>
  </si>
  <si>
    <t xml:space="preserve">Loveday Healthcare London Portfolio</t>
  </si>
  <si>
    <t xml:space="preserve">Care</t>
  </si>
  <si>
    <t xml:space="preserve">Loveday</t>
  </si>
  <si>
    <t xml:space="preserve">Mutual Finance</t>
  </si>
  <si>
    <t xml:space="preserve">Carlton Bay Cornwall</t>
  </si>
  <si>
    <t xml:space="preserve">Land with Planning</t>
  </si>
  <si>
    <t xml:space="preserve">CEG Group</t>
  </si>
  <si>
    <t xml:space="preserve">Broker </t>
  </si>
  <si>
    <t xml:space="preserve">1 Centenary Way, Manchester</t>
  </si>
  <si>
    <t xml:space="preserve">Blacksand</t>
  </si>
  <si>
    <t xml:space="preserve">Blenheim Industrial Estate (Nottingham)</t>
  </si>
  <si>
    <t xml:space="preserve">Rotherhill</t>
  </si>
  <si>
    <t xml:space="preserve">Gone to Topland</t>
  </si>
  <si>
    <t xml:space="preserve">Charles Irvine</t>
  </si>
  <si>
    <t xml:space="preserve">Property Portfolio</t>
  </si>
  <si>
    <t xml:space="preserve">Resi/ Retail</t>
  </si>
  <si>
    <t xml:space="preserve">Tribeca Holdings</t>
  </si>
  <si>
    <t xml:space="preserve">Maroush Group (London)</t>
  </si>
  <si>
    <t xml:space="preserve">Maroush Property Group</t>
  </si>
  <si>
    <t xml:space="preserve">Watford Juction</t>
  </si>
  <si>
    <t xml:space="preserve">Ceri Jones</t>
  </si>
  <si>
    <t xml:space="preserve">Senior or Mezz</t>
  </si>
  <si>
    <t xml:space="preserve">Burn Bullock Pub, 315 London Road, Mitcham</t>
  </si>
  <si>
    <t xml:space="preserve">Target Healthcare REIT PLC</t>
  </si>
  <si>
    <t xml:space="preserve">Forest Gate, East London</t>
  </si>
  <si>
    <t xml:space="preserve">Rajpal Rathor</t>
  </si>
  <si>
    <t xml:space="preserve">Declined after site visit</t>
  </si>
  <si>
    <t xml:space="preserve">Audley Lingfield</t>
  </si>
  <si>
    <t xml:space="preserve">Audley</t>
  </si>
  <si>
    <t xml:space="preserve">Reviewing </t>
  </si>
  <si>
    <t xml:space="preserve">Audley Cooper Hill</t>
  </si>
  <si>
    <t xml:space="preserve">Hamstead/ St Johns Wood Residential Properties</t>
  </si>
  <si>
    <t xml:space="preserve">St John's Seminary, Wonersh</t>
  </si>
  <si>
    <t xml:space="preserve">St John's Wonersh Limited</t>
  </si>
  <si>
    <t xml:space="preserve">188 Wilmslow Road</t>
  </si>
  <si>
    <t xml:space="preserve">Borrower went elsewhere</t>
  </si>
  <si>
    <t xml:space="preserve">Suleman Rafiq</t>
  </si>
  <si>
    <t xml:space="preserve">29 Dene Road, Northwood, HA6 2DD</t>
  </si>
  <si>
    <t xml:space="preserve">Princess Yatch Industrial Porfolio</t>
  </si>
  <si>
    <t xml:space="preserve">Brotherton</t>
  </si>
  <si>
    <t xml:space="preserve">Declined by REL</t>
  </si>
  <si>
    <t xml:space="preserve">Tribeca Retail and Residential, Croydon</t>
  </si>
  <si>
    <t xml:space="preserve">Retail and Residential</t>
  </si>
  <si>
    <t xml:space="preserve">Tribeca</t>
  </si>
  <si>
    <t xml:space="preserve">Sponsor went elsewhere - Jay Deal</t>
  </si>
  <si>
    <t xml:space="preserve">Blenheim Industrial Nottingham</t>
  </si>
  <si>
    <t xml:space="preserve">Industial</t>
  </si>
  <si>
    <t xml:space="preserve">Stellar Asset Management</t>
  </si>
  <si>
    <t xml:space="preserve">Did not Aquire</t>
  </si>
  <si>
    <t xml:space="preserve">Art Capital, Michelin Scotland Innovation Parc, Dundee</t>
  </si>
  <si>
    <t xml:space="preserve">JD Wilkie</t>
  </si>
  <si>
    <t xml:space="preserve">Too Regional</t>
  </si>
  <si>
    <t xml:space="preserve">Art Capital</t>
  </si>
  <si>
    <t xml:space="preserve">21 Garlick Hill SPV, London</t>
  </si>
  <si>
    <t xml:space="preserve">Infill Garlick Hill Ltd</t>
  </si>
  <si>
    <t xml:space="preserve">Did not aquire</t>
  </si>
  <si>
    <t xml:space="preserve">Hemesh Oak North</t>
  </si>
  <si>
    <t xml:space="preserve">17/19 Haymarket, Humberstone Gate, Leicester</t>
  </si>
  <si>
    <t xml:space="preserve">Creasta Porperty Ltd</t>
  </si>
  <si>
    <t xml:space="preserve">Senior/ Mezz</t>
  </si>
  <si>
    <t xml:space="preserve">Went with Tab</t>
  </si>
  <si>
    <t xml:space="preserve">Stella Industrial Tunbridge Wells</t>
  </si>
  <si>
    <t xml:space="preserve">Stayed with Fortwell</t>
  </si>
  <si>
    <t xml:space="preserve">Prime View Kingswells</t>
  </si>
  <si>
    <t xml:space="preserve">`</t>
  </si>
  <si>
    <t xml:space="preserve">64 Tower Bridge Road</t>
  </si>
  <si>
    <t xml:space="preserve">Yourapartment.com</t>
  </si>
  <si>
    <t xml:space="preserve">Went with Hilco</t>
  </si>
  <si>
    <t xml:space="preserve">Lothian Gateway</t>
  </si>
  <si>
    <t xml:space="preserve">Catlebrooke Investments</t>
  </si>
  <si>
    <t xml:space="preserve">Did not get comfortable with deal due to leasehold</t>
  </si>
  <si>
    <t xml:space="preserve">Royal Albert Docks</t>
  </si>
  <si>
    <t xml:space="preserve">DPK</t>
  </si>
  <si>
    <t xml:space="preserve">1 Faringdon Street, London</t>
  </si>
  <si>
    <t xml:space="preserve">Lipman Properties</t>
  </si>
  <si>
    <t xml:space="preserve">1 Westmoreland Road, Bromley</t>
  </si>
  <si>
    <t xml:space="preserve">London Land Group</t>
  </si>
  <si>
    <t xml:space="preserve">Indicative terms</t>
  </si>
  <si>
    <t xml:space="preserve">22 Wadsworth Road, Greenford, Middlesex, UB6 7JD</t>
  </si>
  <si>
    <t xml:space="preserve">Perivale Everglade Window Properties Ltd</t>
  </si>
  <si>
    <t xml:space="preserve">Went with Alica Cheaper on Pricing</t>
  </si>
  <si>
    <t xml:space="preserve">Hotel Porfolio - Edinburgh, Manchester, Bristol</t>
  </si>
  <si>
    <t xml:space="preserve">Gilbert Grosjean</t>
  </si>
  <si>
    <t xml:space="preserve">Closed with Mizrahi</t>
  </si>
  <si>
    <t xml:space="preserve">The Beaufort Hotel, Knightsbridge</t>
  </si>
  <si>
    <t xml:space="preserve">Mr Ahmed Jajbhay</t>
  </si>
  <si>
    <t xml:space="preserve">closed with GRE</t>
  </si>
  <si>
    <t xml:space="preserve">Plant Basingstoke</t>
  </si>
  <si>
    <t xml:space="preserve">Plant</t>
  </si>
  <si>
    <t xml:space="preserve">Collum Green House, Collinswood, Farnham Common</t>
  </si>
  <si>
    <t xml:space="preserve">Vijay Bhandari</t>
  </si>
  <si>
    <t xml:space="preserve">Indicative terms </t>
  </si>
  <si>
    <t xml:space="preserve">Fountain House, Hyde Park, London, W2 3PF</t>
  </si>
  <si>
    <t xml:space="preserve">Rasmala</t>
  </si>
  <si>
    <t xml:space="preserve">Wentworth Estate, Surrey</t>
  </si>
  <si>
    <t xml:space="preserve">UBO, Stefano Marsaglia</t>
  </si>
  <si>
    <t xml:space="preserve">Starboard UK Hotels </t>
  </si>
  <si>
    <t xml:space="preserve">Starboard</t>
  </si>
  <si>
    <t xml:space="preserve">Considering financing options</t>
  </si>
  <si>
    <t xml:space="preserve">The Amber House, 7 Somerset Road, London SW19 5JU / 3A Lincoln Avenue, Wimbledon, SW19 5JT</t>
  </si>
  <si>
    <t xml:space="preserve">Mr Rashad AlYawer</t>
  </si>
  <si>
    <t xml:space="preserve">Out proced</t>
  </si>
  <si>
    <t xml:space="preserve">Uno Thames Hotel</t>
  </si>
  <si>
    <t xml:space="preserve">Vijay Bhandari / Uno Hotels</t>
  </si>
  <si>
    <t xml:space="preserve">Terms sent</t>
  </si>
  <si>
    <t xml:space="preserve">Stouts Hill, Lampern Hill, Uley, Dursley, Gloucestershire, GL11 5BT</t>
  </si>
  <si>
    <t xml:space="preserve">Offshore family trust / offshore company</t>
  </si>
  <si>
    <t xml:space="preserve">Lost too Cheaper pricing</t>
  </si>
  <si>
    <t xml:space="preserve">Vishal</t>
  </si>
  <si>
    <t xml:space="preserve">Richard Day Avison Young</t>
  </si>
  <si>
    <t xml:space="preserve">Hotel Portfolio - Bristol, Plymouth, Cardiff</t>
  </si>
  <si>
    <t xml:space="preserve">Andrew Mccarthy</t>
  </si>
  <si>
    <t xml:space="preserve">Chris Whytney - sent high level terms aggressive leverage</t>
  </si>
  <si>
    <t xml:space="preserve">22-24 Southwark Bridge Road</t>
  </si>
  <si>
    <t xml:space="preserve">Pre-construction bridge to development finance in c.18 months. Resolution to Grant achieved Mar-26. S.106 in final stages. </t>
  </si>
  <si>
    <t xml:space="preserve">Steel Works, Culvert Court, Battersea SW11</t>
  </si>
  <si>
    <t xml:space="preserve">Avanton</t>
  </si>
  <si>
    <t xml:space="preserve">80-85 Tottenham Court Rd, London W1T 4TB</t>
  </si>
  <si>
    <t xml:space="preserve">Purestone Capital / BPS London</t>
  </si>
  <si>
    <t xml:space="preserve">Podiatry clinics, Bristol &amp; Bath (freeholds + trading business)</t>
  </si>
  <si>
    <t xml:space="preserve">Healthcare</t>
  </si>
  <si>
    <t xml:space="preserve">RAAM Healthcare (Morjaria family)</t>
  </si>
  <si>
    <t xml:space="preserve">Declined 15/07 — acquisition of trading podiatry business (£1.1m PP, 3.3x EBITDA) with retail freeholds as security; REL not set up to underwrite trading business acquisitions.</t>
  </si>
  <si>
    <t xml:space="preserve">Completed Deals</t>
  </si>
  <si>
    <t xml:space="preserve">No of Units</t>
  </si>
  <si>
    <t xml:space="preserve">Likely timing of drawdown</t>
  </si>
  <si>
    <t xml:space="preserve">PG/
Additional Security</t>
  </si>
  <si>
    <t xml:space="preserve">Appold</t>
  </si>
  <si>
    <t xml:space="preserve">GMP Limited</t>
  </si>
  <si>
    <t xml:space="preserve">June</t>
  </si>
  <si>
    <t xml:space="preserve">PG</t>
  </si>
  <si>
    <t xml:space="preserve">Completed</t>
  </si>
  <si>
    <t xml:space="preserve">Alexey</t>
  </si>
  <si>
    <t xml:space="preserve">Sunderland Doxford</t>
  </si>
  <si>
    <t xml:space="preserve">July</t>
  </si>
  <si>
    <t xml:space="preserve">N/A</t>
  </si>
  <si>
    <t xml:space="preserve">Mantra</t>
  </si>
  <si>
    <t xml:space="preserve">Uxbridge</t>
  </si>
  <si>
    <t xml:space="preserve">Mixed Use</t>
  </si>
  <si>
    <t xml:space="preserve">DNA Property Partners</t>
  </si>
  <si>
    <t xml:space="preserve">Aug</t>
  </si>
  <si>
    <t xml:space="preserve">Stanmore</t>
  </si>
  <si>
    <t xml:space="preserve">Retirement living</t>
  </si>
  <si>
    <t xml:space="preserve">Elysian Group</t>
  </si>
  <si>
    <t xml:space="preserve">Sep</t>
  </si>
  <si>
    <t xml:space="preserve">Deepesh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</si>
</sst>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.0"/>
    <numFmt numFmtId="167" formatCode="0%"/>
    <numFmt numFmtId="168" formatCode="0.0%"/>
    <numFmt numFmtId="169" formatCode="0"/>
    <numFmt numFmtId="170" formatCode="mmm\-yy"/>
    <numFmt numFmtId="171" formatCode="#,##0.00_ ;[RED]\-#,##0.00\ "/>
    <numFmt numFmtId="172" formatCode="\£#,##0;[RED]&quot;-£&quot;#,##0"/>
    <numFmt numFmtId="173" formatCode="\£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4" borderId="1" xfId="19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2" borderId="1" xfId="19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2" borderId="1" xfId="19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6" fillId="0" borderId="1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6" fillId="2" borderId="0" xfId="19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0" fontId="4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7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6" fillId="0" borderId="0" xfId="19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true"/>
  </sheetPr>
  <dimension ref="A1:W41"/>
  <sheetViews>
    <sheetView showFormulas="false" showGridLines="true" showRowColHeaders="true" showZeros="true" rightToLeft="false" tabSelected="true" showOutlineSymbols="true" defaultGridColor="true" view="normal" topLeftCell="A4" colorId="64" zoomScale="93" zoomScaleNormal="93" zoomScalePageLayoutView="100" workbookViewId="0">
      <selection pane="topLeft" activeCell="L33" activeCellId="0" sqref="L33"/>
    </sheetView>
  </sheetViews>
  <sheetFormatPr defaultColWidth="9" defaultRowHeight="12.75" zeroHeight="false" outlineLevelRow="0" outlineLevelCol="0"/>
  <cols>
    <col collapsed="false" customWidth="true" hidden="false" outlineLevel="0" max="1" min="1" style="1" width="14.29"/>
    <col collapsed="false" customWidth="true" hidden="false" outlineLevel="0" max="2" min="2" style="1" width="70.14"/>
    <col collapsed="false" customWidth="true" hidden="false" outlineLevel="0" max="3" min="3" style="2" width="23.86"/>
    <col collapsed="false" customWidth="true" hidden="false" outlineLevel="0" max="4" min="4" style="1" width="37.14"/>
    <col collapsed="false" customWidth="true" hidden="false" outlineLevel="0" max="5" min="5" style="2" width="13.43"/>
    <col collapsed="false" customWidth="true" hidden="false" outlineLevel="0" max="6" min="6" style="2" width="12.29"/>
    <col collapsed="false" customWidth="true" hidden="false" outlineLevel="0" max="7" min="7" style="2" width="9.57"/>
    <col collapsed="false" customWidth="true" hidden="false" outlineLevel="0" max="8" min="8" style="3" width="10.71"/>
    <col collapsed="false" customWidth="true" hidden="false" outlineLevel="0" max="9" min="9" style="4" width="9.57"/>
    <col collapsed="false" customWidth="true" hidden="false" outlineLevel="0" max="11" min="10" style="3" width="9.57"/>
    <col collapsed="false" customWidth="true" hidden="false" outlineLevel="0" max="12" min="12" style="5" width="9.57"/>
    <col collapsed="false" customWidth="true" hidden="false" outlineLevel="0" max="13" min="13" style="2" width="9.57"/>
    <col collapsed="false" customWidth="true" hidden="false" outlineLevel="0" max="14" min="14" style="6" width="9.57"/>
    <col collapsed="false" customWidth="true" hidden="false" outlineLevel="0" max="15" min="15" style="7" width="9.57"/>
    <col collapsed="false" customWidth="true" hidden="false" outlineLevel="0" max="16" min="16" style="2" width="9.57"/>
    <col collapsed="false" customWidth="true" hidden="false" outlineLevel="0" max="17" min="17" style="1" width="9.57"/>
    <col collapsed="false" customWidth="true" hidden="false" outlineLevel="0" max="18" min="18" style="1" width="61.71"/>
    <col collapsed="false" customWidth="true" hidden="false" outlineLevel="0" max="19" min="19" style="1" width="40.71"/>
    <col collapsed="false" customWidth="false" hidden="false" outlineLevel="0" max="16384" min="20" style="1" width="9"/>
  </cols>
  <sheetData>
    <row r="1" customFormat="false" ht="15" hidden="true" customHeight="true" outlineLevel="0" collapsed="false"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9"/>
    </row>
    <row r="2" customFormat="false" ht="12.75" hidden="true" customHeight="true" outlineLevel="0" collapsed="false"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9"/>
    </row>
    <row r="3" customFormat="false" ht="12.75" hidden="true" customHeight="true" outlineLevel="0" collapsed="false"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/>
    </row>
    <row r="4" customFormat="false" ht="32.25" hidden="false" customHeight="true" outlineLevel="0" collapsed="false">
      <c r="B4" s="8" t="s"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/>
      <c r="T4" s="10"/>
      <c r="U4" s="10"/>
      <c r="V4" s="10"/>
    </row>
    <row r="5" customFormat="false" ht="21.75" hidden="false" customHeight="true" outlineLevel="0" collapsed="false"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10"/>
      <c r="V5" s="10"/>
    </row>
    <row r="6" customFormat="false" ht="21.75" hidden="false" customHeight="true" outlineLevel="0" collapsed="false">
      <c r="A6" s="11"/>
      <c r="B6" s="12" t="s">
        <v>1</v>
      </c>
      <c r="C6" s="1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10"/>
      <c r="V6" s="10"/>
    </row>
    <row r="7" customFormat="false" ht="51" hidden="false" customHeight="true" outlineLevel="0" collapsed="false">
      <c r="A7" s="13" t="s">
        <v>2</v>
      </c>
      <c r="B7" s="13" t="s">
        <v>3</v>
      </c>
      <c r="C7" s="14" t="s">
        <v>4</v>
      </c>
      <c r="D7" s="15" t="s">
        <v>5</v>
      </c>
      <c r="E7" s="16" t="s">
        <v>6</v>
      </c>
      <c r="F7" s="16" t="s">
        <v>7</v>
      </c>
      <c r="G7" s="16" t="s">
        <v>8</v>
      </c>
      <c r="H7" s="17" t="s">
        <v>9</v>
      </c>
      <c r="I7" s="18" t="s">
        <v>10</v>
      </c>
      <c r="J7" s="17" t="s">
        <v>11</v>
      </c>
      <c r="K7" s="17" t="s">
        <v>12</v>
      </c>
      <c r="L7" s="19" t="s">
        <v>13</v>
      </c>
      <c r="M7" s="16" t="s">
        <v>14</v>
      </c>
      <c r="N7" s="20" t="s">
        <v>15</v>
      </c>
      <c r="O7" s="16" t="s">
        <v>16</v>
      </c>
      <c r="P7" s="16" t="s">
        <v>17</v>
      </c>
      <c r="Q7" s="15" t="s">
        <v>18</v>
      </c>
      <c r="R7" s="15" t="s">
        <v>19</v>
      </c>
      <c r="S7" s="21"/>
      <c r="T7" s="10"/>
      <c r="U7" s="10"/>
      <c r="V7" s="10"/>
    </row>
    <row r="8" customFormat="false" ht="12.75" hidden="false" customHeight="false" outlineLevel="0" collapsed="false">
      <c r="A8" s="11"/>
      <c r="B8" s="11"/>
      <c r="C8" s="22"/>
      <c r="D8" s="11"/>
      <c r="E8" s="22"/>
      <c r="F8" s="22"/>
      <c r="G8" s="22"/>
      <c r="H8" s="23"/>
      <c r="I8" s="24"/>
      <c r="J8" s="23"/>
      <c r="K8" s="23"/>
      <c r="L8" s="25"/>
      <c r="M8" s="22"/>
      <c r="N8" s="26"/>
      <c r="O8" s="27"/>
      <c r="P8" s="22"/>
      <c r="Q8" s="11"/>
      <c r="R8" s="11"/>
    </row>
    <row r="9" customFormat="false" ht="12.75" hidden="false" customHeight="false" outlineLevel="0" collapsed="false">
      <c r="A9" s="11"/>
      <c r="B9" s="11"/>
      <c r="C9" s="22"/>
      <c r="D9" s="11"/>
      <c r="E9" s="22"/>
      <c r="F9" s="22"/>
      <c r="G9" s="22"/>
      <c r="H9" s="23"/>
      <c r="I9" s="24"/>
      <c r="J9" s="23"/>
      <c r="K9" s="23"/>
      <c r="L9" s="25"/>
      <c r="M9" s="22"/>
      <c r="N9" s="26"/>
      <c r="O9" s="27"/>
      <c r="P9" s="22"/>
      <c r="Q9" s="11"/>
      <c r="R9" s="11"/>
    </row>
    <row r="10" customFormat="false" ht="12.75" hidden="false" customHeight="false" outlineLevel="0" collapsed="false">
      <c r="A10" s="11"/>
      <c r="B10" s="11"/>
      <c r="C10" s="22"/>
      <c r="D10" s="11"/>
      <c r="E10" s="22"/>
      <c r="F10" s="22"/>
      <c r="G10" s="22"/>
      <c r="H10" s="23"/>
      <c r="I10" s="24"/>
      <c r="J10" s="23"/>
      <c r="K10" s="23"/>
      <c r="L10" s="25"/>
      <c r="M10" s="22"/>
      <c r="N10" s="26"/>
      <c r="O10" s="27"/>
      <c r="P10" s="22"/>
      <c r="Q10" s="11"/>
      <c r="R10" s="11"/>
    </row>
    <row r="11" s="36" customFormat="true" ht="12.75" hidden="false" customHeight="false" outlineLevel="0" collapsed="false">
      <c r="A11" s="28" t="s">
        <v>20</v>
      </c>
      <c r="B11" s="28"/>
      <c r="C11" s="29"/>
      <c r="D11" s="30"/>
      <c r="E11" s="29"/>
      <c r="F11" s="29"/>
      <c r="G11" s="29"/>
      <c r="H11" s="31" t="n">
        <f aca="false">SUM(H9:H10)</f>
        <v>0</v>
      </c>
      <c r="I11" s="31" t="n">
        <f aca="false">SUM(I9:I10)</f>
        <v>0</v>
      </c>
      <c r="J11" s="31" t="n">
        <f aca="false">SUM(J9:J10)</f>
        <v>0</v>
      </c>
      <c r="K11" s="31" t="n">
        <f aca="false">SUM(K9:K10)</f>
        <v>0</v>
      </c>
      <c r="L11" s="32"/>
      <c r="M11" s="33"/>
      <c r="N11" s="34"/>
      <c r="O11" s="29"/>
      <c r="P11" s="29"/>
      <c r="Q11" s="30"/>
      <c r="R11" s="30"/>
      <c r="S11" s="35"/>
      <c r="T11" s="10"/>
      <c r="U11" s="10"/>
      <c r="V11" s="10"/>
    </row>
    <row r="12" s="36" customFormat="true" ht="12.75" hidden="false" customHeight="false" outlineLevel="0" collapsed="false">
      <c r="A12" s="37"/>
      <c r="B12" s="38"/>
      <c r="C12" s="39"/>
      <c r="D12" s="40"/>
      <c r="E12" s="39"/>
      <c r="F12" s="39"/>
      <c r="G12" s="39"/>
      <c r="H12" s="41"/>
      <c r="I12" s="42"/>
      <c r="J12" s="41"/>
      <c r="K12" s="41"/>
      <c r="L12" s="43"/>
      <c r="M12" s="39"/>
      <c r="N12" s="44"/>
      <c r="O12" s="39"/>
      <c r="P12" s="39"/>
      <c r="Q12" s="40"/>
      <c r="R12" s="45"/>
      <c r="S12" s="46"/>
      <c r="T12" s="10"/>
      <c r="U12" s="10"/>
      <c r="V12" s="10"/>
    </row>
    <row r="13" customFormat="false" ht="12.75" hidden="true" customHeight="false" outlineLevel="0" collapsed="false">
      <c r="A13" s="11"/>
      <c r="B13" s="38"/>
      <c r="C13" s="39"/>
      <c r="D13" s="40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47"/>
      <c r="T13" s="10"/>
      <c r="U13" s="10"/>
      <c r="V13" s="10"/>
    </row>
    <row r="14" s="36" customFormat="true" ht="12.75" hidden="true" customHeight="false" outlineLevel="0" collapsed="false">
      <c r="A14" s="37"/>
      <c r="B14" s="38"/>
      <c r="C14" s="39"/>
      <c r="D14" s="40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47"/>
      <c r="T14" s="10"/>
      <c r="U14" s="10"/>
      <c r="V14" s="10"/>
    </row>
    <row r="15" s="36" customFormat="true" ht="12.75" hidden="true" customHeight="false" outlineLevel="0" collapsed="false">
      <c r="A15" s="37"/>
      <c r="B15" s="38"/>
      <c r="C15" s="39"/>
      <c r="D15" s="40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47"/>
      <c r="T15" s="10"/>
      <c r="U15" s="10"/>
      <c r="V15" s="10"/>
    </row>
    <row r="16" s="36" customFormat="true" ht="12.75" hidden="true" customHeight="false" outlineLevel="0" collapsed="false">
      <c r="A16" s="37"/>
      <c r="B16" s="45" t="s">
        <v>3</v>
      </c>
      <c r="C16" s="48" t="s">
        <v>4</v>
      </c>
      <c r="D16" s="45" t="s">
        <v>5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9"/>
      <c r="T16" s="10"/>
      <c r="U16" s="10"/>
      <c r="V16" s="10"/>
    </row>
    <row r="17" customFormat="false" ht="12.75" hidden="true" customHeight="false" outlineLevel="0" collapsed="false">
      <c r="A17" s="11"/>
      <c r="B17" s="38"/>
      <c r="C17" s="39"/>
      <c r="D17" s="40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7"/>
      <c r="T17" s="10"/>
      <c r="U17" s="10"/>
      <c r="V17" s="10"/>
    </row>
    <row r="18" customFormat="false" ht="28.5" hidden="false" customHeight="true" outlineLevel="0" collapsed="false">
      <c r="A18" s="22"/>
      <c r="B18" s="50" t="s">
        <v>21</v>
      </c>
      <c r="C18" s="50"/>
      <c r="D18" s="45"/>
      <c r="E18" s="48"/>
      <c r="F18" s="51"/>
      <c r="G18" s="51"/>
      <c r="H18" s="52"/>
      <c r="I18" s="53"/>
      <c r="J18" s="52"/>
      <c r="K18" s="52"/>
      <c r="L18" s="54"/>
      <c r="M18" s="51"/>
      <c r="N18" s="55"/>
      <c r="O18" s="48"/>
      <c r="P18" s="48"/>
      <c r="Q18" s="45"/>
      <c r="R18" s="45"/>
      <c r="S18" s="46"/>
      <c r="T18" s="10"/>
      <c r="U18" s="10"/>
      <c r="V18" s="10"/>
    </row>
    <row r="19" customFormat="false" ht="51" hidden="false" customHeight="true" outlineLevel="0" collapsed="false">
      <c r="A19" s="13" t="s">
        <v>2</v>
      </c>
      <c r="B19" s="13" t="s">
        <v>3</v>
      </c>
      <c r="C19" s="14" t="s">
        <v>4</v>
      </c>
      <c r="D19" s="15" t="s">
        <v>5</v>
      </c>
      <c r="E19" s="16" t="s">
        <v>6</v>
      </c>
      <c r="F19" s="16" t="s">
        <v>7</v>
      </c>
      <c r="G19" s="16" t="s">
        <v>8</v>
      </c>
      <c r="H19" s="17" t="s">
        <v>9</v>
      </c>
      <c r="I19" s="18" t="s">
        <v>10</v>
      </c>
      <c r="J19" s="17" t="s">
        <v>11</v>
      </c>
      <c r="K19" s="17" t="s">
        <v>12</v>
      </c>
      <c r="L19" s="19" t="s">
        <v>13</v>
      </c>
      <c r="M19" s="16" t="s">
        <v>14</v>
      </c>
      <c r="N19" s="20" t="s">
        <v>15</v>
      </c>
      <c r="O19" s="16" t="s">
        <v>16</v>
      </c>
      <c r="P19" s="16" t="s">
        <v>17</v>
      </c>
      <c r="Q19" s="15" t="s">
        <v>18</v>
      </c>
      <c r="R19" s="15" t="s">
        <v>19</v>
      </c>
      <c r="S19" s="21"/>
      <c r="T19" s="10"/>
      <c r="U19" s="10"/>
      <c r="V19" s="10"/>
    </row>
    <row r="20" customFormat="false" ht="12.75" hidden="false" customHeight="false" outlineLevel="0" collapsed="false">
      <c r="A20" s="56" t="n">
        <v>46054</v>
      </c>
      <c r="B20" s="57" t="s">
        <v>22</v>
      </c>
      <c r="C20" s="22" t="s">
        <v>23</v>
      </c>
      <c r="D20" s="58" t="s">
        <v>24</v>
      </c>
      <c r="E20" s="22" t="s">
        <v>25</v>
      </c>
      <c r="F20" s="22" t="s">
        <v>26</v>
      </c>
      <c r="G20" s="22" t="s">
        <v>27</v>
      </c>
      <c r="H20" s="23" t="n">
        <v>5</v>
      </c>
      <c r="I20" s="24" t="n">
        <v>0.22</v>
      </c>
      <c r="J20" s="23" t="n">
        <v>5.05</v>
      </c>
      <c r="K20" s="23" t="n">
        <v>11</v>
      </c>
      <c r="L20" s="25" t="n">
        <f aca="false">H20/K20</f>
        <v>0.454545454545455</v>
      </c>
      <c r="M20" s="22" t="n">
        <v>12</v>
      </c>
      <c r="N20" s="26" t="n">
        <v>0.1439</v>
      </c>
      <c r="O20" s="27" t="s">
        <v>28</v>
      </c>
      <c r="P20" s="22" t="s">
        <v>28</v>
      </c>
      <c r="Q20" s="11" t="s">
        <v>29</v>
      </c>
      <c r="R20" s="11" t="s">
        <v>30</v>
      </c>
    </row>
    <row r="21" customFormat="false" ht="12.75" hidden="false" customHeight="false" outlineLevel="0" collapsed="false">
      <c r="A21" s="56" t="n">
        <v>46082</v>
      </c>
      <c r="B21" s="57" t="s">
        <v>31</v>
      </c>
      <c r="C21" s="22" t="s">
        <v>32</v>
      </c>
      <c r="D21" s="58"/>
      <c r="E21" s="22" t="s">
        <v>25</v>
      </c>
      <c r="F21" s="22" t="s">
        <v>26</v>
      </c>
      <c r="G21" s="22" t="s">
        <v>27</v>
      </c>
      <c r="H21" s="23" t="n">
        <v>13</v>
      </c>
      <c r="I21" s="24"/>
      <c r="J21" s="23"/>
      <c r="K21" s="23" t="n">
        <v>17</v>
      </c>
      <c r="L21" s="25" t="n">
        <v>0.76</v>
      </c>
      <c r="M21" s="22" t="n">
        <v>12</v>
      </c>
      <c r="N21" s="26"/>
      <c r="O21" s="27" t="s">
        <v>28</v>
      </c>
      <c r="P21" s="22" t="s">
        <v>28</v>
      </c>
      <c r="Q21" s="11" t="s">
        <v>29</v>
      </c>
      <c r="R21" s="11" t="s">
        <v>33</v>
      </c>
      <c r="S21" s="59"/>
      <c r="T21" s="10"/>
      <c r="U21" s="10"/>
      <c r="V21" s="10"/>
    </row>
    <row r="22" customFormat="false" ht="12" hidden="false" customHeight="true" outlineLevel="0" collapsed="false">
      <c r="A22" s="56" t="n">
        <v>46082</v>
      </c>
      <c r="B22" s="58" t="s">
        <v>34</v>
      </c>
      <c r="C22" s="22" t="s">
        <v>32</v>
      </c>
      <c r="D22" s="58" t="s">
        <v>35</v>
      </c>
      <c r="E22" s="22" t="s">
        <v>25</v>
      </c>
      <c r="F22" s="22" t="s">
        <v>26</v>
      </c>
      <c r="G22" s="22" t="s">
        <v>27</v>
      </c>
      <c r="H22" s="23" t="n">
        <v>3.2</v>
      </c>
      <c r="I22" s="24" t="n">
        <v>0.774</v>
      </c>
      <c r="J22" s="23" t="n">
        <v>3.2</v>
      </c>
      <c r="K22" s="23" t="n">
        <v>6.5</v>
      </c>
      <c r="L22" s="25" t="n">
        <f aca="false">H22/K22</f>
        <v>0.492307692307692</v>
      </c>
      <c r="M22" s="22" t="n">
        <v>12</v>
      </c>
      <c r="N22" s="26" t="n">
        <v>0.1323</v>
      </c>
      <c r="O22" s="27" t="s">
        <v>28</v>
      </c>
      <c r="P22" s="22" t="s">
        <v>28</v>
      </c>
      <c r="Q22" s="11" t="s">
        <v>29</v>
      </c>
      <c r="R22" s="11" t="s">
        <v>36</v>
      </c>
      <c r="S22" s="59"/>
      <c r="T22" s="10"/>
      <c r="U22" s="10"/>
      <c r="V22" s="10"/>
    </row>
    <row r="23" customFormat="false" ht="12.75" hidden="false" customHeight="false" outlineLevel="0" collapsed="false">
      <c r="A23" s="56" t="n">
        <v>46143</v>
      </c>
      <c r="B23" s="58" t="s">
        <v>37</v>
      </c>
      <c r="C23" s="22" t="s">
        <v>32</v>
      </c>
      <c r="D23" s="58" t="s">
        <v>38</v>
      </c>
      <c r="E23" s="22" t="s">
        <v>25</v>
      </c>
      <c r="F23" s="22" t="s">
        <v>26</v>
      </c>
      <c r="G23" s="22" t="s">
        <v>27</v>
      </c>
      <c r="H23" s="23" t="n">
        <v>9.01</v>
      </c>
      <c r="I23" s="24"/>
      <c r="J23" s="23" t="n">
        <v>9.1</v>
      </c>
      <c r="K23" s="23" t="n">
        <v>14</v>
      </c>
      <c r="L23" s="25" t="n">
        <v>0.65</v>
      </c>
      <c r="M23" s="22" t="n">
        <v>18</v>
      </c>
      <c r="N23" s="26"/>
      <c r="O23" s="27" t="s">
        <v>39</v>
      </c>
      <c r="P23" s="22" t="s">
        <v>28</v>
      </c>
      <c r="Q23" s="11" t="s">
        <v>29</v>
      </c>
      <c r="R23" s="11" t="s">
        <v>40</v>
      </c>
      <c r="S23" s="59"/>
      <c r="T23" s="10"/>
      <c r="U23" s="10"/>
      <c r="V23" s="10"/>
    </row>
    <row r="24" customFormat="false" ht="12.75" hidden="false" customHeight="false" outlineLevel="0" collapsed="false">
      <c r="A24" s="56" t="n">
        <v>46143</v>
      </c>
      <c r="B24" s="58" t="s">
        <v>41</v>
      </c>
      <c r="C24" s="22" t="s">
        <v>41</v>
      </c>
      <c r="D24" s="58" t="s">
        <v>42</v>
      </c>
      <c r="E24" s="22" t="s">
        <v>25</v>
      </c>
      <c r="F24" s="22" t="s">
        <v>26</v>
      </c>
      <c r="G24" s="22" t="s">
        <v>27</v>
      </c>
      <c r="H24" s="23" t="n">
        <v>8.01</v>
      </c>
      <c r="I24" s="24"/>
      <c r="J24" s="23" t="n">
        <v>8.9</v>
      </c>
      <c r="K24" s="23" t="n">
        <v>17.45</v>
      </c>
      <c r="L24" s="25" t="n">
        <v>0.51</v>
      </c>
      <c r="M24" s="22" t="n">
        <v>9</v>
      </c>
      <c r="N24" s="26"/>
      <c r="O24" s="27" t="s">
        <v>39</v>
      </c>
      <c r="P24" s="22" t="s">
        <v>28</v>
      </c>
      <c r="Q24" s="11" t="s">
        <v>29</v>
      </c>
      <c r="R24" s="11" t="s">
        <v>43</v>
      </c>
      <c r="S24" s="59"/>
      <c r="T24" s="10"/>
      <c r="U24" s="10"/>
      <c r="V24" s="10"/>
    </row>
    <row r="25" customFormat="false" ht="12.75" hidden="false" customHeight="false" outlineLevel="0" collapsed="false">
      <c r="A25" s="56" t="n">
        <v>46143</v>
      </c>
      <c r="B25" s="58" t="s">
        <v>44</v>
      </c>
      <c r="C25" s="22" t="s">
        <v>45</v>
      </c>
      <c r="D25" s="58" t="s">
        <v>46</v>
      </c>
      <c r="E25" s="22" t="s">
        <v>25</v>
      </c>
      <c r="F25" s="22" t="s">
        <v>26</v>
      </c>
      <c r="G25" s="22" t="s">
        <v>27</v>
      </c>
      <c r="H25" s="23" t="n">
        <v>3.5</v>
      </c>
      <c r="I25" s="24"/>
      <c r="J25" s="23" t="n">
        <v>3.5</v>
      </c>
      <c r="K25" s="23" t="n">
        <v>6.2</v>
      </c>
      <c r="L25" s="25" t="n">
        <v>0.56</v>
      </c>
      <c r="M25" s="22" t="n">
        <v>12</v>
      </c>
      <c r="N25" s="26"/>
      <c r="O25" s="27" t="s">
        <v>28</v>
      </c>
      <c r="P25" s="22" t="s">
        <v>28</v>
      </c>
      <c r="Q25" s="11" t="s">
        <v>29</v>
      </c>
      <c r="R25" s="11" t="s">
        <v>47</v>
      </c>
      <c r="S25" s="59"/>
      <c r="T25" s="10"/>
      <c r="U25" s="10"/>
      <c r="V25" s="10"/>
    </row>
    <row r="26" customFormat="false" ht="12.75" hidden="false" customHeight="false" outlineLevel="0" collapsed="false">
      <c r="A26" s="56" t="n">
        <v>46174</v>
      </c>
      <c r="B26" s="58" t="s">
        <v>48</v>
      </c>
      <c r="C26" s="22" t="s">
        <v>49</v>
      </c>
      <c r="D26" s="58" t="s">
        <v>50</v>
      </c>
      <c r="E26" s="22" t="s">
        <v>25</v>
      </c>
      <c r="F26" s="22" t="s">
        <v>26</v>
      </c>
      <c r="G26" s="22" t="s">
        <v>51</v>
      </c>
      <c r="H26" s="23" t="n">
        <v>16</v>
      </c>
      <c r="I26" s="24"/>
      <c r="J26" s="23" t="n">
        <v>16</v>
      </c>
      <c r="K26" s="23" t="n">
        <v>18.3</v>
      </c>
      <c r="L26" s="25" t="n">
        <v>0.87</v>
      </c>
      <c r="M26" s="22" t="n">
        <v>12</v>
      </c>
      <c r="N26" s="26"/>
      <c r="O26" s="27" t="s">
        <v>28</v>
      </c>
      <c r="P26" s="22" t="s">
        <v>28</v>
      </c>
      <c r="Q26" s="11" t="s">
        <v>29</v>
      </c>
      <c r="R26" s="11" t="s">
        <v>52</v>
      </c>
      <c r="S26" s="59"/>
      <c r="T26" s="10"/>
      <c r="U26" s="10"/>
      <c r="V26" s="10"/>
    </row>
    <row r="27" customFormat="false" ht="12.75" hidden="false" customHeight="false" outlineLevel="0" collapsed="false">
      <c r="A27" s="56" t="n">
        <v>46174</v>
      </c>
      <c r="B27" s="11" t="s">
        <v>53</v>
      </c>
      <c r="C27" s="22" t="s">
        <v>54</v>
      </c>
      <c r="D27" s="11" t="s">
        <v>55</v>
      </c>
      <c r="E27" s="22" t="s">
        <v>25</v>
      </c>
      <c r="F27" s="22" t="s">
        <v>26</v>
      </c>
      <c r="G27" s="22" t="s">
        <v>51</v>
      </c>
      <c r="H27" s="23" t="n">
        <v>6.73</v>
      </c>
      <c r="I27" s="24" t="n">
        <v>1.212</v>
      </c>
      <c r="J27" s="23" t="n">
        <v>6.82</v>
      </c>
      <c r="K27" s="23" t="n">
        <v>11</v>
      </c>
      <c r="L27" s="25" t="n">
        <f aca="false">J27/K27</f>
        <v>0.62</v>
      </c>
      <c r="M27" s="22" t="n">
        <v>18</v>
      </c>
      <c r="N27" s="26" t="n">
        <v>0.1184</v>
      </c>
      <c r="O27" s="27" t="s">
        <v>39</v>
      </c>
      <c r="P27" s="22" t="s">
        <v>28</v>
      </c>
      <c r="Q27" s="11" t="s">
        <v>29</v>
      </c>
      <c r="R27" s="11" t="s">
        <v>56</v>
      </c>
    </row>
    <row r="28" customFormat="false" ht="12.75" hidden="false" customHeight="false" outlineLevel="0" collapsed="false">
      <c r="A28" s="56" t="n">
        <v>46174</v>
      </c>
      <c r="B28" s="11" t="s">
        <v>57</v>
      </c>
      <c r="C28" s="22" t="s">
        <v>58</v>
      </c>
      <c r="D28" s="11" t="s">
        <v>59</v>
      </c>
      <c r="E28" s="22" t="s">
        <v>25</v>
      </c>
      <c r="F28" s="22" t="s">
        <v>26</v>
      </c>
      <c r="G28" s="22" t="s">
        <v>51</v>
      </c>
      <c r="H28" s="23" t="n">
        <v>13.46</v>
      </c>
      <c r="I28" s="24"/>
      <c r="J28" s="23" t="n">
        <v>13.6</v>
      </c>
      <c r="K28" s="23" t="n">
        <v>19</v>
      </c>
      <c r="L28" s="25" t="n">
        <v>0.73</v>
      </c>
      <c r="M28" s="22" t="n">
        <v>12</v>
      </c>
      <c r="N28" s="26"/>
      <c r="O28" s="27" t="s">
        <v>39</v>
      </c>
      <c r="P28" s="22" t="s">
        <v>28</v>
      </c>
      <c r="Q28" s="11" t="s">
        <v>29</v>
      </c>
      <c r="R28" s="11" t="s">
        <v>60</v>
      </c>
    </row>
    <row r="29" customFormat="false" ht="12.75" hidden="false" customHeight="false" outlineLevel="0" collapsed="false">
      <c r="A29" s="56" t="n">
        <v>46174</v>
      </c>
      <c r="B29" s="11" t="s">
        <v>61</v>
      </c>
      <c r="C29" s="22" t="s">
        <v>62</v>
      </c>
      <c r="D29" s="11" t="s">
        <v>63</v>
      </c>
      <c r="E29" s="22" t="s">
        <v>25</v>
      </c>
      <c r="F29" s="22" t="s">
        <v>26</v>
      </c>
      <c r="G29" s="22" t="s">
        <v>41</v>
      </c>
      <c r="H29" s="23" t="n">
        <v>12.2</v>
      </c>
      <c r="I29" s="24"/>
      <c r="J29" s="23" t="n">
        <v>13.94</v>
      </c>
      <c r="K29" s="23" t="n">
        <v>20.5</v>
      </c>
      <c r="L29" s="25" t="n">
        <v>0.68</v>
      </c>
      <c r="M29" s="22" t="n">
        <v>12</v>
      </c>
      <c r="N29" s="26"/>
      <c r="O29" s="27" t="s">
        <v>39</v>
      </c>
      <c r="P29" s="22" t="s">
        <v>28</v>
      </c>
      <c r="Q29" s="11" t="s">
        <v>29</v>
      </c>
      <c r="R29" s="11" t="s">
        <v>64</v>
      </c>
    </row>
    <row r="30" customFormat="false" ht="12.75" hidden="false" customHeight="false" outlineLevel="0" collapsed="false">
      <c r="A30" s="56" t="n">
        <v>46204</v>
      </c>
      <c r="B30" s="11" t="s">
        <v>65</v>
      </c>
      <c r="C30" s="22" t="s">
        <v>66</v>
      </c>
      <c r="D30" s="11" t="s">
        <v>41</v>
      </c>
      <c r="E30" s="22" t="s">
        <v>25</v>
      </c>
      <c r="F30" s="22" t="s">
        <v>26</v>
      </c>
      <c r="G30" s="22" t="s">
        <v>51</v>
      </c>
      <c r="H30" s="23" t="n">
        <v>14.7</v>
      </c>
      <c r="I30" s="24"/>
      <c r="J30" s="23" t="n">
        <v>15</v>
      </c>
      <c r="K30" s="23" t="n">
        <v>25.86</v>
      </c>
      <c r="L30" s="25" t="n">
        <v>0.58</v>
      </c>
      <c r="M30" s="22" t="n">
        <v>12</v>
      </c>
      <c r="N30" s="26"/>
      <c r="O30" s="27" t="s">
        <v>39</v>
      </c>
      <c r="P30" s="22" t="s">
        <v>28</v>
      </c>
      <c r="Q30" s="11" t="s">
        <v>29</v>
      </c>
      <c r="R30" s="11" t="s">
        <v>67</v>
      </c>
    </row>
    <row r="31" customFormat="false" ht="12.75" hidden="false" customHeight="false" outlineLevel="0" collapsed="false">
      <c r="A31" s="56" t="n">
        <v>46204</v>
      </c>
      <c r="B31" s="11" t="s">
        <v>68</v>
      </c>
      <c r="C31" s="22" t="s">
        <v>69</v>
      </c>
      <c r="D31" s="11" t="s">
        <v>70</v>
      </c>
      <c r="E31" s="22" t="s">
        <v>25</v>
      </c>
      <c r="F31" s="22" t="s">
        <v>26</v>
      </c>
      <c r="G31" s="22" t="s">
        <v>51</v>
      </c>
      <c r="H31" s="23"/>
      <c r="I31" s="24"/>
      <c r="J31" s="23"/>
      <c r="K31" s="23" t="n">
        <v>18.5</v>
      </c>
      <c r="L31" s="25"/>
      <c r="M31" s="22"/>
      <c r="N31" s="26"/>
      <c r="O31" s="27" t="s">
        <v>28</v>
      </c>
      <c r="P31" s="22" t="s">
        <v>28</v>
      </c>
      <c r="Q31" s="11" t="s">
        <v>29</v>
      </c>
      <c r="R31" s="11" t="s">
        <v>71</v>
      </c>
    </row>
    <row r="32" customFormat="false" ht="12.75" hidden="false" customHeight="false" outlineLevel="0" collapsed="false">
      <c r="A32" s="56" t="n">
        <v>46204</v>
      </c>
      <c r="B32" s="11" t="s">
        <v>72</v>
      </c>
      <c r="C32" s="22" t="s">
        <v>73</v>
      </c>
      <c r="D32" s="11" t="s">
        <v>74</v>
      </c>
      <c r="E32" s="22" t="s">
        <v>25</v>
      </c>
      <c r="F32" s="22" t="s">
        <v>26</v>
      </c>
      <c r="G32" s="22" t="s">
        <v>27</v>
      </c>
      <c r="H32" s="23" t="n">
        <v>0.86</v>
      </c>
      <c r="I32" s="24" t="n">
        <v>0.107</v>
      </c>
      <c r="J32" s="23" t="n">
        <v>0.95</v>
      </c>
      <c r="K32" s="23" t="n">
        <v>2.5</v>
      </c>
      <c r="L32" s="25" t="n">
        <f aca="false">J32/K32</f>
        <v>0.38</v>
      </c>
      <c r="M32" s="22" t="n">
        <v>12</v>
      </c>
      <c r="N32" s="26" t="n">
        <v>0.1125</v>
      </c>
      <c r="O32" s="27" t="s">
        <v>39</v>
      </c>
      <c r="P32" s="22" t="s">
        <v>28</v>
      </c>
      <c r="Q32" s="11" t="s">
        <v>75</v>
      </c>
      <c r="R32" s="11" t="s">
        <v>76</v>
      </c>
    </row>
    <row r="33" customFormat="false" ht="12.75" hidden="false" customHeight="false" outlineLevel="0" collapsed="false">
      <c r="A33" s="56" t="n">
        <v>46204</v>
      </c>
      <c r="B33" s="11" t="s">
        <v>77</v>
      </c>
      <c r="C33" s="22" t="s">
        <v>78</v>
      </c>
      <c r="D33" s="11" t="s">
        <v>79</v>
      </c>
      <c r="E33" s="22" t="s">
        <v>41</v>
      </c>
      <c r="F33" s="22" t="s">
        <v>80</v>
      </c>
      <c r="G33" s="22" t="s">
        <v>51</v>
      </c>
      <c r="H33" s="23" t="n">
        <v>77</v>
      </c>
      <c r="I33" s="24"/>
      <c r="J33" s="23" t="n">
        <v>90.38</v>
      </c>
      <c r="K33" s="23" t="n">
        <v>148.63</v>
      </c>
      <c r="L33" s="25" t="n">
        <f aca="false">J33/K33</f>
        <v>0.608087196393729</v>
      </c>
      <c r="M33" s="22" t="n">
        <v>30</v>
      </c>
      <c r="N33" s="26"/>
      <c r="O33" s="27" t="s">
        <v>28</v>
      </c>
      <c r="P33" s="22" t="s">
        <v>28</v>
      </c>
      <c r="Q33" s="11" t="s">
        <v>29</v>
      </c>
      <c r="R33" s="11" t="s">
        <v>81</v>
      </c>
    </row>
    <row r="34" customFormat="false" ht="12.75" hidden="false" customHeight="false" outlineLevel="0" collapsed="false">
      <c r="A34" s="56"/>
      <c r="B34" s="11"/>
      <c r="C34" s="22"/>
      <c r="D34" s="11"/>
      <c r="E34" s="22"/>
      <c r="F34" s="22"/>
      <c r="G34" s="22"/>
      <c r="H34" s="23"/>
      <c r="I34" s="24"/>
      <c r="J34" s="23"/>
      <c r="K34" s="23"/>
      <c r="L34" s="25"/>
      <c r="M34" s="22"/>
      <c r="N34" s="26"/>
      <c r="O34" s="27"/>
      <c r="P34" s="22"/>
      <c r="Q34" s="11"/>
      <c r="R34" s="11"/>
    </row>
    <row r="35" customFormat="false" ht="12.75" hidden="false" customHeight="false" outlineLevel="0" collapsed="false">
      <c r="A35" s="28" t="s">
        <v>20</v>
      </c>
      <c r="B35" s="28"/>
      <c r="C35" s="60"/>
      <c r="D35" s="61"/>
      <c r="E35" s="60"/>
      <c r="F35" s="11"/>
      <c r="G35" s="60"/>
      <c r="H35" s="31" t="n">
        <f aca="false">SUM(H20:H34)</f>
        <v>182.67</v>
      </c>
      <c r="I35" s="31" t="n">
        <f aca="false">SUM(I20:I34)</f>
        <v>2.313</v>
      </c>
      <c r="J35" s="31" t="n">
        <f aca="false">SUM(J20:J34)</f>
        <v>186.44</v>
      </c>
      <c r="K35" s="31" t="n">
        <f aca="false">SUM(K20:K34)</f>
        <v>336.44</v>
      </c>
      <c r="L35" s="32" t="n">
        <f aca="false">AVERAGE(L20:L34)</f>
        <v>0.607303103326683</v>
      </c>
      <c r="M35" s="60"/>
      <c r="N35" s="62"/>
      <c r="O35" s="60"/>
      <c r="P35" s="60"/>
      <c r="Q35" s="61"/>
      <c r="R35" s="61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2.75" hidden="false" customHeight="false" outlineLevel="0" collapsed="false">
      <c r="U39" s="1" t="n">
        <v>0.1</v>
      </c>
      <c r="V39" s="63" t="n">
        <v>0.14</v>
      </c>
      <c r="W39" s="1" t="n">
        <f aca="false">U36*V36</f>
        <v>0</v>
      </c>
    </row>
    <row r="40" customFormat="false" ht="13.8" hidden="false" customHeight="false" outlineLevel="0" collapsed="false">
      <c r="B40" s="64"/>
      <c r="C40" s="65"/>
      <c r="D40" s="65"/>
      <c r="E40" s="66"/>
      <c r="F40" s="65"/>
      <c r="G40" s="67"/>
      <c r="U40" s="1" t="n">
        <v>0.9</v>
      </c>
      <c r="V40" s="63" t="n">
        <v>0.02</v>
      </c>
      <c r="W40" s="1" t="n">
        <f aca="false">U37*V37</f>
        <v>0</v>
      </c>
    </row>
    <row r="41" customFormat="false" ht="13.8" hidden="false" customHeight="false" outlineLevel="0" collapsed="false">
      <c r="B41" s="64"/>
      <c r="C41" s="65"/>
      <c r="D41" s="65"/>
      <c r="E41" s="66"/>
      <c r="F41" s="65"/>
      <c r="G41" s="67"/>
      <c r="W41" s="1" t="n">
        <f aca="false">W36+W37</f>
        <v>0</v>
      </c>
    </row>
  </sheetData>
  <mergeCells count="4">
    <mergeCell ref="C1:R3"/>
    <mergeCell ref="B4:R4"/>
    <mergeCell ref="B6:C6"/>
    <mergeCell ref="B18:C18"/>
  </mergeCells>
  <printOptions headings="false" gridLines="false" gridLinesSet="true" horizontalCentered="false" verticalCentered="false"/>
  <pageMargins left="0.25" right="0.25" top="0.75" bottom="0.75" header="0.511811023622047" footer="0.3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V96"/>
  <sheetViews>
    <sheetView showFormulas="false" showGridLines="true" showRowColHeaders="true" showZeros="true" rightToLeft="false" tabSelected="false" showOutlineSymbols="true" defaultGridColor="true" view="normal" topLeftCell="A71" colorId="64" zoomScale="81" zoomScaleNormal="81" zoomScalePageLayoutView="100" workbookViewId="0">
      <selection pane="topLeft" activeCell="F96" activeCellId="0" sqref="F96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" width="9.57"/>
    <col collapsed="false" customWidth="true" hidden="false" outlineLevel="0" max="4" min="2" style="68" width="19.57"/>
    <col collapsed="false" customWidth="true" hidden="false" outlineLevel="0" max="17" min="5" style="68" width="9.57"/>
    <col collapsed="false" customWidth="true" hidden="false" outlineLevel="0" max="18" min="18" style="68" width="44.43"/>
    <col collapsed="false" customWidth="false" hidden="false" outlineLevel="0" max="16384" min="19" style="68" width="8.71"/>
  </cols>
  <sheetData>
    <row r="3" s="1" customFormat="true" ht="28.5" hidden="false" customHeight="true" outlineLevel="0" collapsed="false">
      <c r="B3" s="69" t="s">
        <v>82</v>
      </c>
      <c r="C3" s="69"/>
      <c r="D3" s="46"/>
      <c r="E3" s="49"/>
      <c r="F3" s="70"/>
      <c r="G3" s="70"/>
      <c r="H3" s="71"/>
      <c r="I3" s="72"/>
      <c r="J3" s="71"/>
      <c r="K3" s="71"/>
      <c r="L3" s="73"/>
      <c r="M3" s="70"/>
      <c r="N3" s="74"/>
      <c r="O3" s="49"/>
      <c r="P3" s="49"/>
      <c r="Q3" s="46"/>
      <c r="R3" s="46"/>
    </row>
    <row r="4" s="1" customFormat="true" ht="38.25" hidden="false" customHeight="true" outlineLevel="0" collapsed="false">
      <c r="A4" s="13" t="s">
        <v>2</v>
      </c>
      <c r="B4" s="13" t="s">
        <v>3</v>
      </c>
      <c r="C4" s="14" t="s">
        <v>4</v>
      </c>
      <c r="D4" s="15" t="s">
        <v>83</v>
      </c>
      <c r="E4" s="16" t="s">
        <v>6</v>
      </c>
      <c r="F4" s="16" t="s">
        <v>7</v>
      </c>
      <c r="G4" s="16"/>
      <c r="H4" s="17" t="s">
        <v>84</v>
      </c>
      <c r="I4" s="18" t="s">
        <v>85</v>
      </c>
      <c r="J4" s="17" t="s">
        <v>86</v>
      </c>
      <c r="K4" s="17" t="s">
        <v>87</v>
      </c>
      <c r="L4" s="19" t="s">
        <v>13</v>
      </c>
      <c r="M4" s="16" t="s">
        <v>14</v>
      </c>
      <c r="N4" s="20" t="s">
        <v>15</v>
      </c>
      <c r="O4" s="16" t="s">
        <v>16</v>
      </c>
      <c r="P4" s="16" t="s">
        <v>17</v>
      </c>
      <c r="Q4" s="15" t="s">
        <v>18</v>
      </c>
      <c r="R4" s="15" t="s">
        <v>19</v>
      </c>
    </row>
    <row r="5" s="1" customFormat="true" ht="12.75" hidden="false" customHeight="true" outlineLevel="0" collapsed="false">
      <c r="B5" s="11" t="s">
        <v>88</v>
      </c>
      <c r="C5" s="30" t="s">
        <v>54</v>
      </c>
      <c r="D5" s="11" t="s">
        <v>89</v>
      </c>
      <c r="E5" s="22" t="s">
        <v>25</v>
      </c>
      <c r="F5" s="22" t="s">
        <v>26</v>
      </c>
      <c r="G5" s="22" t="s">
        <v>27</v>
      </c>
      <c r="H5" s="23" t="n">
        <v>3.9</v>
      </c>
      <c r="I5" s="24" t="n">
        <v>0.485</v>
      </c>
      <c r="J5" s="23" t="n">
        <v>3.9</v>
      </c>
      <c r="K5" s="23" t="n">
        <v>6</v>
      </c>
      <c r="L5" s="25" t="n">
        <f aca="false">J5/K5</f>
        <v>0.65</v>
      </c>
      <c r="M5" s="22" t="n">
        <v>9</v>
      </c>
      <c r="N5" s="26" t="n">
        <v>0.103</v>
      </c>
      <c r="O5" s="22" t="s">
        <v>90</v>
      </c>
      <c r="P5" s="22" t="s">
        <v>90</v>
      </c>
      <c r="Q5" s="11" t="s">
        <v>75</v>
      </c>
      <c r="R5" s="1" t="s">
        <v>91</v>
      </c>
    </row>
    <row r="6" s="1" customFormat="true" ht="12.75" hidden="false" customHeight="true" outlineLevel="0" collapsed="false">
      <c r="A6" s="11"/>
      <c r="B6" s="11" t="s">
        <v>92</v>
      </c>
      <c r="C6" s="30" t="s">
        <v>93</v>
      </c>
      <c r="D6" s="11" t="s">
        <v>94</v>
      </c>
      <c r="E6" s="22" t="s">
        <v>25</v>
      </c>
      <c r="F6" s="22" t="s">
        <v>26</v>
      </c>
      <c r="G6" s="22" t="s">
        <v>27</v>
      </c>
      <c r="H6" s="23" t="n">
        <v>4.3</v>
      </c>
      <c r="I6" s="24" t="n">
        <v>0.5</v>
      </c>
      <c r="J6" s="23" t="n">
        <v>4.8</v>
      </c>
      <c r="K6" s="23" t="n">
        <v>8</v>
      </c>
      <c r="L6" s="25" t="n">
        <f aca="false">J6/K6</f>
        <v>0.6</v>
      </c>
      <c r="M6" s="22" t="n">
        <v>6</v>
      </c>
      <c r="N6" s="26" t="n">
        <v>0.12</v>
      </c>
      <c r="O6" s="22" t="s">
        <v>90</v>
      </c>
      <c r="P6" s="22" t="s">
        <v>90</v>
      </c>
      <c r="Q6" s="11" t="s">
        <v>75</v>
      </c>
      <c r="R6" s="75" t="s">
        <v>95</v>
      </c>
    </row>
    <row r="7" s="1" customFormat="true" ht="12.75" hidden="false" customHeight="true" outlineLevel="0" collapsed="false">
      <c r="B7" s="11" t="s">
        <v>96</v>
      </c>
      <c r="C7" s="30" t="s">
        <v>32</v>
      </c>
      <c r="D7" s="11" t="s">
        <v>97</v>
      </c>
      <c r="E7" s="22" t="s">
        <v>25</v>
      </c>
      <c r="F7" s="22" t="s">
        <v>26</v>
      </c>
      <c r="G7" s="22" t="s">
        <v>27</v>
      </c>
      <c r="H7" s="23" t="n">
        <v>20</v>
      </c>
      <c r="I7" s="24" t="n">
        <v>3</v>
      </c>
      <c r="J7" s="23" t="n">
        <v>20</v>
      </c>
      <c r="K7" s="23" t="n">
        <v>35</v>
      </c>
      <c r="L7" s="25" t="n">
        <f aca="false">J7/K7</f>
        <v>0.571428571428571</v>
      </c>
      <c r="M7" s="22" t="n">
        <v>18</v>
      </c>
      <c r="N7" s="26" t="n">
        <v>0.13</v>
      </c>
      <c r="O7" s="27" t="s">
        <v>90</v>
      </c>
      <c r="P7" s="22" t="s">
        <v>90</v>
      </c>
      <c r="Q7" s="11" t="s">
        <v>75</v>
      </c>
      <c r="R7" s="75" t="s">
        <v>98</v>
      </c>
    </row>
    <row r="8" s="1" customFormat="true" ht="12.75" hidden="false" customHeight="true" outlineLevel="0" collapsed="false">
      <c r="A8" s="11"/>
      <c r="B8" s="11" t="s">
        <v>99</v>
      </c>
      <c r="C8" s="30" t="s">
        <v>32</v>
      </c>
      <c r="D8" s="11" t="s">
        <v>100</v>
      </c>
      <c r="E8" s="22" t="s">
        <v>25</v>
      </c>
      <c r="F8" s="22" t="s">
        <v>26</v>
      </c>
      <c r="G8" s="22" t="s">
        <v>51</v>
      </c>
      <c r="H8" s="23" t="n">
        <v>7</v>
      </c>
      <c r="I8" s="24" t="n">
        <v>1</v>
      </c>
      <c r="J8" s="23" t="n">
        <v>8</v>
      </c>
      <c r="K8" s="23" t="n">
        <v>28</v>
      </c>
      <c r="L8" s="25" t="n">
        <f aca="false">J8/K8</f>
        <v>0.285714285714286</v>
      </c>
      <c r="M8" s="22" t="n">
        <v>18</v>
      </c>
      <c r="N8" s="26" t="n">
        <v>0.1</v>
      </c>
      <c r="O8" s="22" t="s">
        <v>90</v>
      </c>
      <c r="P8" s="22" t="s">
        <v>90</v>
      </c>
      <c r="Q8" s="11" t="s">
        <v>75</v>
      </c>
      <c r="R8" s="75" t="s">
        <v>101</v>
      </c>
    </row>
    <row r="9" s="1" customFormat="true" ht="12.75" hidden="false" customHeight="false" outlineLevel="0" collapsed="false">
      <c r="A9" s="28"/>
      <c r="B9" s="11" t="s">
        <v>102</v>
      </c>
      <c r="C9" s="11" t="s">
        <v>66</v>
      </c>
      <c r="D9" s="11" t="s">
        <v>103</v>
      </c>
      <c r="E9" s="22" t="s">
        <v>25</v>
      </c>
      <c r="F9" s="22" t="s">
        <v>26</v>
      </c>
      <c r="G9" s="22" t="s">
        <v>51</v>
      </c>
      <c r="H9" s="23" t="n">
        <v>11</v>
      </c>
      <c r="I9" s="24" t="n">
        <v>2.2</v>
      </c>
      <c r="J9" s="23" t="n">
        <v>13.2</v>
      </c>
      <c r="K9" s="23" t="n">
        <v>20</v>
      </c>
      <c r="L9" s="25" t="n">
        <f aca="false">J9/K9</f>
        <v>0.66</v>
      </c>
      <c r="M9" s="22" t="n">
        <v>18</v>
      </c>
      <c r="N9" s="26" t="n">
        <v>0.13</v>
      </c>
      <c r="O9" s="27" t="s">
        <v>90</v>
      </c>
      <c r="P9" s="22" t="s">
        <v>90</v>
      </c>
      <c r="Q9" s="11" t="s">
        <v>29</v>
      </c>
      <c r="R9" s="11" t="s">
        <v>104</v>
      </c>
    </row>
    <row r="10" s="1" customFormat="true" ht="12.75" hidden="false" customHeight="true" outlineLevel="0" collapsed="false">
      <c r="A10" s="37"/>
      <c r="B10" s="11" t="s">
        <v>105</v>
      </c>
      <c r="C10" s="11" t="s">
        <v>32</v>
      </c>
      <c r="D10" s="11" t="s">
        <v>106</v>
      </c>
      <c r="E10" s="22" t="s">
        <v>25</v>
      </c>
      <c r="F10" s="22" t="s">
        <v>26</v>
      </c>
      <c r="G10" s="22" t="s">
        <v>51</v>
      </c>
      <c r="H10" s="23" t="n">
        <v>19</v>
      </c>
      <c r="I10" s="24" t="n">
        <v>4.14</v>
      </c>
      <c r="J10" s="23" t="n">
        <v>21</v>
      </c>
      <c r="K10" s="23" t="n">
        <v>30</v>
      </c>
      <c r="L10" s="25" t="n">
        <f aca="false">J10/K10</f>
        <v>0.7</v>
      </c>
      <c r="M10" s="22" t="n">
        <v>18</v>
      </c>
      <c r="N10" s="26" t="n">
        <v>0.1445</v>
      </c>
      <c r="O10" s="27" t="s">
        <v>90</v>
      </c>
      <c r="P10" s="22" t="s">
        <v>90</v>
      </c>
      <c r="Q10" s="11" t="s">
        <v>75</v>
      </c>
      <c r="R10" s="11" t="s">
        <v>107</v>
      </c>
    </row>
    <row r="11" s="1" customFormat="true" ht="12.75" hidden="false" customHeight="true" outlineLevel="0" collapsed="false">
      <c r="A11" s="11"/>
      <c r="B11" s="11" t="s">
        <v>108</v>
      </c>
      <c r="C11" s="11" t="s">
        <v>93</v>
      </c>
      <c r="D11" s="11" t="s">
        <v>109</v>
      </c>
      <c r="E11" s="22" t="s">
        <v>25</v>
      </c>
      <c r="F11" s="22" t="s">
        <v>26</v>
      </c>
      <c r="G11" s="22" t="s">
        <v>27</v>
      </c>
      <c r="H11" s="23" t="n">
        <v>3.7</v>
      </c>
      <c r="I11" s="24" t="n">
        <v>0.45</v>
      </c>
      <c r="J11" s="23" t="n">
        <v>3.7</v>
      </c>
      <c r="K11" s="23" t="n">
        <v>5.55</v>
      </c>
      <c r="L11" s="25" t="n">
        <f aca="false">J11/K11</f>
        <v>0.666666666666667</v>
      </c>
      <c r="M11" s="22" t="n">
        <v>12</v>
      </c>
      <c r="N11" s="26" t="n">
        <v>0.13</v>
      </c>
      <c r="O11" s="27" t="s">
        <v>90</v>
      </c>
      <c r="P11" s="22" t="s">
        <v>90</v>
      </c>
      <c r="Q11" s="11" t="s">
        <v>29</v>
      </c>
      <c r="R11" s="1" t="s">
        <v>110</v>
      </c>
    </row>
    <row r="12" s="1" customFormat="true" ht="12.75" hidden="false" customHeight="true" outlineLevel="0" collapsed="false">
      <c r="A12" s="37"/>
      <c r="B12" s="11" t="s">
        <v>111</v>
      </c>
      <c r="C12" s="58" t="s">
        <v>93</v>
      </c>
      <c r="D12" s="11" t="s">
        <v>112</v>
      </c>
      <c r="E12" s="22" t="s">
        <v>25</v>
      </c>
      <c r="F12" s="22" t="s">
        <v>26</v>
      </c>
      <c r="G12" s="22" t="s">
        <v>51</v>
      </c>
      <c r="H12" s="23" t="n">
        <v>9.1</v>
      </c>
      <c r="I12" s="24" t="n">
        <v>0.92</v>
      </c>
      <c r="J12" s="23" t="n">
        <v>9.28</v>
      </c>
      <c r="K12" s="23" t="n">
        <v>18.25</v>
      </c>
      <c r="L12" s="25" t="n">
        <f aca="false">J12/K12</f>
        <v>0.508493150684932</v>
      </c>
      <c r="M12" s="22" t="n">
        <v>9</v>
      </c>
      <c r="N12" s="26" t="n">
        <v>0.1435</v>
      </c>
      <c r="O12" s="27" t="s">
        <v>113</v>
      </c>
      <c r="P12" s="22" t="s">
        <v>90</v>
      </c>
      <c r="Q12" s="11" t="s">
        <v>29</v>
      </c>
      <c r="R12" s="11" t="s">
        <v>114</v>
      </c>
    </row>
    <row r="13" s="1" customFormat="true" ht="12.75" hidden="false" customHeight="false" outlineLevel="0" collapsed="false">
      <c r="A13" s="37"/>
      <c r="B13" s="11" t="s">
        <v>115</v>
      </c>
      <c r="C13" s="58" t="s">
        <v>93</v>
      </c>
      <c r="D13" s="11" t="s">
        <v>116</v>
      </c>
      <c r="E13" s="22" t="s">
        <v>25</v>
      </c>
      <c r="F13" s="22" t="s">
        <v>26</v>
      </c>
      <c r="G13" s="22" t="s">
        <v>51</v>
      </c>
      <c r="H13" s="23" t="n">
        <v>7</v>
      </c>
      <c r="I13" s="24" t="n">
        <v>1.01</v>
      </c>
      <c r="J13" s="23" t="n">
        <v>7.18</v>
      </c>
      <c r="K13" s="23" t="n">
        <v>9.95</v>
      </c>
      <c r="L13" s="25" t="n">
        <f aca="false">J13/K13</f>
        <v>0.721608040201005</v>
      </c>
      <c r="M13" s="22" t="n">
        <v>12</v>
      </c>
      <c r="N13" s="26" t="n">
        <v>0.153</v>
      </c>
      <c r="O13" s="27" t="s">
        <v>113</v>
      </c>
      <c r="P13" s="22" t="s">
        <v>90</v>
      </c>
      <c r="Q13" s="11" t="s">
        <v>29</v>
      </c>
      <c r="R13" s="11" t="s">
        <v>117</v>
      </c>
    </row>
    <row r="14" s="1" customFormat="true" ht="12.75" hidden="false" customHeight="true" outlineLevel="0" collapsed="false">
      <c r="A14" s="37"/>
      <c r="B14" s="11" t="s">
        <v>118</v>
      </c>
      <c r="C14" s="58" t="s">
        <v>32</v>
      </c>
      <c r="D14" s="11" t="s">
        <v>119</v>
      </c>
      <c r="E14" s="22" t="s">
        <v>25</v>
      </c>
      <c r="F14" s="22" t="s">
        <v>26</v>
      </c>
      <c r="G14" s="22" t="s">
        <v>27</v>
      </c>
      <c r="H14" s="23" t="n">
        <v>20</v>
      </c>
      <c r="I14" s="24" t="n">
        <v>3.8</v>
      </c>
      <c r="J14" s="23" t="n">
        <v>22</v>
      </c>
      <c r="K14" s="23" t="n">
        <v>33</v>
      </c>
      <c r="L14" s="25" t="n">
        <f aca="false">J14/K14</f>
        <v>0.666666666666667</v>
      </c>
      <c r="M14" s="22" t="n">
        <v>18</v>
      </c>
      <c r="N14" s="26" t="n">
        <v>0.127</v>
      </c>
      <c r="O14" s="27" t="s">
        <v>113</v>
      </c>
      <c r="P14" s="22" t="s">
        <v>90</v>
      </c>
      <c r="Q14" s="11" t="s">
        <v>75</v>
      </c>
      <c r="R14" s="11" t="s">
        <v>120</v>
      </c>
    </row>
    <row r="15" s="1" customFormat="true" ht="12.75" hidden="false" customHeight="true" outlineLevel="0" collapsed="false">
      <c r="A15" s="11"/>
      <c r="B15" s="11" t="s">
        <v>121</v>
      </c>
      <c r="C15" s="11" t="s">
        <v>93</v>
      </c>
      <c r="D15" s="11" t="s">
        <v>122</v>
      </c>
      <c r="E15" s="22" t="s">
        <v>25</v>
      </c>
      <c r="F15" s="22" t="s">
        <v>26</v>
      </c>
      <c r="G15" s="22" t="s">
        <v>51</v>
      </c>
      <c r="H15" s="23" t="n">
        <v>7.6</v>
      </c>
      <c r="I15" s="24" t="n">
        <v>0.84</v>
      </c>
      <c r="J15" s="23" t="n">
        <v>8.4</v>
      </c>
      <c r="K15" s="23" t="n">
        <v>10.5</v>
      </c>
      <c r="L15" s="25" t="n">
        <f aca="false">J15/K15</f>
        <v>0.8</v>
      </c>
      <c r="M15" s="22" t="n">
        <v>9</v>
      </c>
      <c r="N15" s="26" t="n">
        <v>0.15</v>
      </c>
      <c r="O15" s="27" t="s">
        <v>90</v>
      </c>
      <c r="P15" s="22" t="s">
        <v>90</v>
      </c>
      <c r="Q15" s="11" t="s">
        <v>75</v>
      </c>
      <c r="R15" s="11" t="s">
        <v>123</v>
      </c>
    </row>
    <row r="16" s="1" customFormat="true" ht="12.75" hidden="false" customHeight="true" outlineLevel="0" collapsed="false">
      <c r="A16" s="22"/>
      <c r="B16" s="11" t="s">
        <v>124</v>
      </c>
      <c r="C16" s="58" t="s">
        <v>23</v>
      </c>
      <c r="D16" s="11" t="s">
        <v>94</v>
      </c>
      <c r="E16" s="22" t="s">
        <v>25</v>
      </c>
      <c r="F16" s="22" t="s">
        <v>26</v>
      </c>
      <c r="G16" s="22" t="s">
        <v>27</v>
      </c>
      <c r="H16" s="23" t="n">
        <v>10.5</v>
      </c>
      <c r="I16" s="24" t="n">
        <v>1.38</v>
      </c>
      <c r="J16" s="23" t="n">
        <v>11.9</v>
      </c>
      <c r="K16" s="23" t="n">
        <v>20</v>
      </c>
      <c r="L16" s="25" t="n">
        <f aca="false">J16/K16</f>
        <v>0.595</v>
      </c>
      <c r="M16" s="22" t="n">
        <v>12</v>
      </c>
      <c r="N16" s="26" t="n">
        <v>0.131</v>
      </c>
      <c r="O16" s="27" t="s">
        <v>113</v>
      </c>
      <c r="P16" s="22" t="s">
        <v>90</v>
      </c>
      <c r="Q16" s="11" t="s">
        <v>29</v>
      </c>
      <c r="R16" s="11" t="s">
        <v>125</v>
      </c>
    </row>
    <row r="17" s="1" customFormat="true" ht="12.75" hidden="false" customHeight="true" outlineLevel="0" collapsed="false">
      <c r="A17" s="11"/>
      <c r="B17" s="11" t="s">
        <v>126</v>
      </c>
      <c r="C17" s="58" t="s">
        <v>127</v>
      </c>
      <c r="D17" s="11" t="s">
        <v>128</v>
      </c>
      <c r="E17" s="22" t="s">
        <v>25</v>
      </c>
      <c r="F17" s="22" t="s">
        <v>26</v>
      </c>
      <c r="G17" s="22" t="s">
        <v>27</v>
      </c>
      <c r="H17" s="23" t="n">
        <v>25</v>
      </c>
      <c r="I17" s="24" t="n">
        <v>4.8</v>
      </c>
      <c r="J17" s="23" t="n">
        <v>26</v>
      </c>
      <c r="K17" s="23" t="n">
        <v>40</v>
      </c>
      <c r="L17" s="25" t="n">
        <f aca="false">J17/K17</f>
        <v>0.65</v>
      </c>
      <c r="M17" s="22" t="n">
        <v>18</v>
      </c>
      <c r="N17" s="26" t="n">
        <v>0.13</v>
      </c>
      <c r="O17" s="27" t="s">
        <v>90</v>
      </c>
      <c r="P17" s="22" t="s">
        <v>90</v>
      </c>
      <c r="Q17" s="11" t="s">
        <v>29</v>
      </c>
      <c r="R17" s="11" t="s">
        <v>129</v>
      </c>
    </row>
    <row r="18" s="1" customFormat="true" ht="12.75" hidden="false" customHeight="true" outlineLevel="0" collapsed="false">
      <c r="A18" s="11"/>
      <c r="B18" s="11" t="s">
        <v>130</v>
      </c>
      <c r="C18" s="58" t="s">
        <v>131</v>
      </c>
      <c r="D18" s="11" t="s">
        <v>132</v>
      </c>
      <c r="E18" s="22" t="s">
        <v>25</v>
      </c>
      <c r="F18" s="22" t="s">
        <v>26</v>
      </c>
      <c r="G18" s="22" t="s">
        <v>51</v>
      </c>
      <c r="H18" s="23" t="n">
        <v>2.5</v>
      </c>
      <c r="I18" s="24" t="n">
        <v>0.3</v>
      </c>
      <c r="J18" s="23" t="n">
        <v>2.8</v>
      </c>
      <c r="K18" s="23" t="n">
        <v>5.25</v>
      </c>
      <c r="L18" s="25" t="n">
        <f aca="false">J18/K18</f>
        <v>0.533333333333333</v>
      </c>
      <c r="M18" s="22" t="n">
        <v>12</v>
      </c>
      <c r="N18" s="26" t="n">
        <v>0.135</v>
      </c>
      <c r="O18" s="27" t="s">
        <v>90</v>
      </c>
      <c r="P18" s="22" t="s">
        <v>90</v>
      </c>
      <c r="Q18" s="11" t="s">
        <v>29</v>
      </c>
      <c r="R18" s="11" t="s">
        <v>129</v>
      </c>
    </row>
    <row r="19" s="1" customFormat="true" ht="12.75" hidden="false" customHeight="false" outlineLevel="0" collapsed="false">
      <c r="A19" s="11"/>
      <c r="B19" s="11" t="s">
        <v>133</v>
      </c>
      <c r="C19" s="58" t="s">
        <v>66</v>
      </c>
      <c r="D19" s="11" t="s">
        <v>134</v>
      </c>
      <c r="E19" s="22" t="s">
        <v>25</v>
      </c>
      <c r="F19" s="22" t="s">
        <v>26</v>
      </c>
      <c r="G19" s="22" t="s">
        <v>27</v>
      </c>
      <c r="H19" s="23" t="n">
        <v>7</v>
      </c>
      <c r="I19" s="24" t="n">
        <v>1.46</v>
      </c>
      <c r="J19" s="23" t="n">
        <v>7.85</v>
      </c>
      <c r="K19" s="23" t="n">
        <v>11</v>
      </c>
      <c r="L19" s="25" t="n">
        <f aca="false">J19/K19</f>
        <v>0.713636363636364</v>
      </c>
      <c r="M19" s="22" t="n">
        <v>18</v>
      </c>
      <c r="N19" s="26" t="n">
        <v>0.139</v>
      </c>
      <c r="O19" s="27" t="s">
        <v>90</v>
      </c>
      <c r="P19" s="22" t="s">
        <v>90</v>
      </c>
      <c r="Q19" s="11" t="s">
        <v>29</v>
      </c>
      <c r="R19" s="11" t="s">
        <v>135</v>
      </c>
    </row>
    <row r="20" s="1" customFormat="true" ht="12.75" hidden="false" customHeight="true" outlineLevel="0" collapsed="false">
      <c r="A20" s="11"/>
      <c r="B20" s="11" t="s">
        <v>136</v>
      </c>
      <c r="C20" s="58" t="s">
        <v>32</v>
      </c>
      <c r="D20" s="11" t="s">
        <v>137</v>
      </c>
      <c r="E20" s="22" t="s">
        <v>25</v>
      </c>
      <c r="F20" s="22" t="s">
        <v>26</v>
      </c>
      <c r="G20" s="22" t="s">
        <v>51</v>
      </c>
      <c r="H20" s="23" t="n">
        <v>2.468</v>
      </c>
      <c r="I20" s="24" t="n">
        <v>0.339</v>
      </c>
      <c r="J20" s="23" t="n">
        <v>2.49</v>
      </c>
      <c r="K20" s="23" t="n">
        <v>3.95</v>
      </c>
      <c r="L20" s="25" t="n">
        <f aca="false">J20/K20</f>
        <v>0.630379746835443</v>
      </c>
      <c r="M20" s="22" t="n">
        <v>12</v>
      </c>
      <c r="N20" s="26" t="n">
        <v>0.147</v>
      </c>
      <c r="O20" s="27" t="s">
        <v>90</v>
      </c>
      <c r="P20" s="22" t="s">
        <v>90</v>
      </c>
      <c r="Q20" s="11" t="s">
        <v>138</v>
      </c>
      <c r="R20" s="11" t="s">
        <v>139</v>
      </c>
    </row>
    <row r="21" s="1" customFormat="true" ht="12.75" hidden="false" customHeight="true" outlineLevel="0" collapsed="false">
      <c r="A21" s="11"/>
      <c r="B21" s="11" t="s">
        <v>140</v>
      </c>
      <c r="C21" s="58" t="s">
        <v>32</v>
      </c>
      <c r="D21" s="11" t="s">
        <v>141</v>
      </c>
      <c r="E21" s="22" t="s">
        <v>142</v>
      </c>
      <c r="F21" s="22" t="s">
        <v>26</v>
      </c>
      <c r="G21" s="22" t="s">
        <v>27</v>
      </c>
      <c r="H21" s="23" t="n">
        <v>2.875</v>
      </c>
      <c r="I21" s="24" t="n">
        <v>0.598</v>
      </c>
      <c r="J21" s="23" t="n">
        <v>3.4</v>
      </c>
      <c r="K21" s="23" t="n">
        <v>24.4</v>
      </c>
      <c r="L21" s="25" t="n">
        <v>0.51</v>
      </c>
      <c r="M21" s="22" t="n">
        <v>12</v>
      </c>
      <c r="N21" s="26" t="n">
        <v>0.215</v>
      </c>
      <c r="O21" s="27" t="s">
        <v>90</v>
      </c>
      <c r="P21" s="22" t="s">
        <v>90</v>
      </c>
      <c r="Q21" s="11" t="s">
        <v>143</v>
      </c>
      <c r="R21" s="11"/>
    </row>
    <row r="22" s="1" customFormat="true" ht="12.75" hidden="false" customHeight="true" outlineLevel="0" collapsed="false">
      <c r="A22" s="11"/>
      <c r="B22" s="11" t="s">
        <v>144</v>
      </c>
      <c r="C22" s="58" t="s">
        <v>32</v>
      </c>
      <c r="D22" s="11"/>
      <c r="E22" s="22"/>
      <c r="F22" s="22"/>
      <c r="G22" s="22"/>
      <c r="H22" s="23"/>
      <c r="I22" s="24"/>
      <c r="J22" s="23"/>
      <c r="K22" s="23"/>
      <c r="L22" s="25"/>
      <c r="M22" s="22"/>
      <c r="N22" s="26"/>
      <c r="O22" s="27"/>
      <c r="P22" s="22"/>
      <c r="Q22" s="11"/>
      <c r="R22" s="11"/>
    </row>
    <row r="23" s="1" customFormat="true" ht="12.75" hidden="false" customHeight="true" outlineLevel="0" collapsed="false">
      <c r="B23" s="11" t="s">
        <v>145</v>
      </c>
      <c r="C23" s="30" t="s">
        <v>146</v>
      </c>
      <c r="D23" s="11"/>
      <c r="E23" s="22" t="s">
        <v>25</v>
      </c>
      <c r="F23" s="22" t="s">
        <v>26</v>
      </c>
      <c r="G23" s="22" t="s">
        <v>27</v>
      </c>
      <c r="H23" s="23" t="n">
        <v>3.412</v>
      </c>
      <c r="I23" s="24" t="n">
        <v>0.391</v>
      </c>
      <c r="J23" s="23" t="n">
        <v>3.45</v>
      </c>
      <c r="K23" s="23" t="n">
        <v>5.25</v>
      </c>
      <c r="L23" s="25" t="n">
        <f aca="false">J23/K23</f>
        <v>0.657142857142857</v>
      </c>
      <c r="M23" s="22" t="n">
        <v>9</v>
      </c>
      <c r="N23" s="26" t="n">
        <v>0.165</v>
      </c>
      <c r="O23" s="22" t="s">
        <v>147</v>
      </c>
      <c r="P23" s="22" t="s">
        <v>147</v>
      </c>
      <c r="Q23" s="11" t="s">
        <v>148</v>
      </c>
      <c r="R23" s="11" t="s">
        <v>149</v>
      </c>
    </row>
    <row r="24" s="1" customFormat="true" ht="12.75" hidden="false" customHeight="true" outlineLevel="0" collapsed="false">
      <c r="A24" s="11"/>
      <c r="B24" s="76" t="s">
        <v>150</v>
      </c>
      <c r="C24" s="77" t="s">
        <v>32</v>
      </c>
      <c r="D24" s="1" t="s">
        <v>151</v>
      </c>
      <c r="E24" s="78" t="s">
        <v>142</v>
      </c>
      <c r="F24" s="78" t="s">
        <v>26</v>
      </c>
      <c r="G24" s="78" t="s">
        <v>152</v>
      </c>
      <c r="H24" s="79" t="n">
        <v>4.33</v>
      </c>
      <c r="I24" s="80" t="n">
        <v>1.2</v>
      </c>
      <c r="J24" s="79" t="n">
        <v>4.6</v>
      </c>
      <c r="K24" s="23" t="n">
        <v>21</v>
      </c>
      <c r="L24" s="25" t="n">
        <v>0.75</v>
      </c>
      <c r="M24" s="22" t="n">
        <v>15</v>
      </c>
      <c r="N24" s="26" t="n">
        <v>0.24</v>
      </c>
      <c r="O24" s="27" t="s">
        <v>90</v>
      </c>
      <c r="P24" s="22" t="s">
        <v>90</v>
      </c>
      <c r="Q24" s="11" t="s">
        <v>75</v>
      </c>
      <c r="R24" s="11" t="s">
        <v>139</v>
      </c>
    </row>
    <row r="25" s="1" customFormat="true" ht="12.75" hidden="false" customHeight="true" outlineLevel="0" collapsed="false">
      <c r="A25" s="11"/>
      <c r="B25" s="11" t="s">
        <v>153</v>
      </c>
      <c r="C25" s="58" t="s">
        <v>32</v>
      </c>
      <c r="D25" s="11" t="s">
        <v>154</v>
      </c>
      <c r="E25" s="22" t="s">
        <v>155</v>
      </c>
      <c r="F25" s="22" t="s">
        <v>156</v>
      </c>
      <c r="G25" s="22" t="s">
        <v>51</v>
      </c>
      <c r="H25" s="23" t="n">
        <v>5.79</v>
      </c>
      <c r="I25" s="24" t="n">
        <v>0.62</v>
      </c>
      <c r="J25" s="23" t="n">
        <v>5.87</v>
      </c>
      <c r="K25" s="23" t="n">
        <v>8.265</v>
      </c>
      <c r="L25" s="25" t="n">
        <f aca="false">J25/K25</f>
        <v>0.710223835450696</v>
      </c>
      <c r="M25" s="22" t="n">
        <v>9</v>
      </c>
      <c r="N25" s="26" t="n">
        <v>0.153</v>
      </c>
      <c r="O25" s="27" t="s">
        <v>90</v>
      </c>
      <c r="P25" s="22" t="s">
        <v>90</v>
      </c>
      <c r="Q25" s="11" t="s">
        <v>157</v>
      </c>
      <c r="R25" s="11" t="s">
        <v>139</v>
      </c>
    </row>
    <row r="26" s="1" customFormat="true" ht="12.75" hidden="false" customHeight="false" outlineLevel="0" collapsed="false">
      <c r="A26" s="11"/>
      <c r="B26" s="11" t="s">
        <v>158</v>
      </c>
      <c r="C26" s="11" t="s">
        <v>32</v>
      </c>
      <c r="D26" s="11" t="s">
        <v>159</v>
      </c>
      <c r="E26" s="22" t="s">
        <v>25</v>
      </c>
      <c r="F26" s="22" t="s">
        <v>26</v>
      </c>
      <c r="G26" s="22" t="s">
        <v>51</v>
      </c>
      <c r="H26" s="23" t="n">
        <v>16.8</v>
      </c>
      <c r="I26" s="24" t="n">
        <v>1.78</v>
      </c>
      <c r="J26" s="23" t="n">
        <v>16.8</v>
      </c>
      <c r="K26" s="23" t="n">
        <v>24</v>
      </c>
      <c r="L26" s="25" t="n">
        <v>0.7</v>
      </c>
      <c r="M26" s="22" t="n">
        <v>9</v>
      </c>
      <c r="N26" s="26" t="n">
        <v>0.152</v>
      </c>
      <c r="O26" s="27" t="s">
        <v>90</v>
      </c>
      <c r="P26" s="22" t="s">
        <v>90</v>
      </c>
      <c r="Q26" s="11" t="s">
        <v>29</v>
      </c>
      <c r="R26" s="11"/>
    </row>
    <row r="27" s="1" customFormat="true" ht="12.75" hidden="false" customHeight="false" outlineLevel="0" collapsed="false">
      <c r="A27" s="11"/>
      <c r="B27" s="11" t="s">
        <v>160</v>
      </c>
      <c r="C27" s="11" t="s">
        <v>146</v>
      </c>
      <c r="D27" s="11" t="s">
        <v>94</v>
      </c>
      <c r="E27" s="22" t="s">
        <v>161</v>
      </c>
      <c r="F27" s="22" t="s">
        <v>26</v>
      </c>
      <c r="G27" s="22" t="s">
        <v>51</v>
      </c>
      <c r="H27" s="23" t="n">
        <v>7.42</v>
      </c>
      <c r="I27" s="24" t="n">
        <v>1.07</v>
      </c>
      <c r="J27" s="23" t="n">
        <v>7.42</v>
      </c>
      <c r="K27" s="23" t="n">
        <v>10.6</v>
      </c>
      <c r="L27" s="25" t="n">
        <v>0.7</v>
      </c>
      <c r="M27" s="22" t="n">
        <v>12</v>
      </c>
      <c r="N27" s="26" t="n">
        <v>0.15</v>
      </c>
      <c r="O27" s="27" t="s">
        <v>113</v>
      </c>
      <c r="P27" s="22" t="s">
        <v>90</v>
      </c>
      <c r="Q27" s="11" t="s">
        <v>29</v>
      </c>
      <c r="R27" s="11"/>
    </row>
    <row r="28" s="1" customFormat="true" ht="12.75" hidden="false" customHeight="false" outlineLevel="0" collapsed="false">
      <c r="A28" s="11"/>
      <c r="B28" s="11" t="s">
        <v>162</v>
      </c>
      <c r="C28" s="11" t="s">
        <v>32</v>
      </c>
      <c r="D28" s="11" t="s">
        <v>163</v>
      </c>
      <c r="E28" s="22" t="s">
        <v>25</v>
      </c>
      <c r="F28" s="22" t="s">
        <v>26</v>
      </c>
      <c r="G28" s="22" t="s">
        <v>51</v>
      </c>
      <c r="H28" s="23" t="n">
        <v>23.75</v>
      </c>
      <c r="I28" s="24" t="n">
        <v>5.7</v>
      </c>
      <c r="J28" s="23" t="n">
        <v>23.75</v>
      </c>
      <c r="K28" s="23" t="n">
        <v>47.5</v>
      </c>
      <c r="L28" s="25" t="n">
        <f aca="false">J28/K28</f>
        <v>0.5</v>
      </c>
      <c r="M28" s="22" t="n">
        <v>24</v>
      </c>
      <c r="N28" s="26" t="n">
        <v>0.1288</v>
      </c>
      <c r="O28" s="27" t="s">
        <v>90</v>
      </c>
      <c r="P28" s="22" t="s">
        <v>90</v>
      </c>
      <c r="Q28" s="11" t="s">
        <v>75</v>
      </c>
      <c r="R28" s="11"/>
    </row>
    <row r="29" s="1" customFormat="true" ht="12.75" hidden="false" customHeight="true" outlineLevel="0" collapsed="false">
      <c r="A29" s="11"/>
      <c r="B29" s="11" t="s">
        <v>136</v>
      </c>
      <c r="C29" s="11" t="s">
        <v>32</v>
      </c>
      <c r="D29" s="11"/>
      <c r="E29" s="22" t="s">
        <v>25</v>
      </c>
      <c r="F29" s="22" t="s">
        <v>26</v>
      </c>
      <c r="G29" s="22" t="s">
        <v>51</v>
      </c>
      <c r="H29" s="23" t="n">
        <v>2.56</v>
      </c>
      <c r="I29" s="24" t="n">
        <v>0.5</v>
      </c>
      <c r="J29" s="23" t="n">
        <v>2.56</v>
      </c>
      <c r="K29" s="23" t="n">
        <v>3.95</v>
      </c>
      <c r="L29" s="25" t="n">
        <f aca="false">J29/K29</f>
        <v>0.648101265822785</v>
      </c>
      <c r="M29" s="22" t="n">
        <v>18</v>
      </c>
      <c r="N29" s="26" t="n">
        <v>0.1394</v>
      </c>
      <c r="O29" s="27" t="s">
        <v>90</v>
      </c>
      <c r="P29" s="22" t="s">
        <v>90</v>
      </c>
      <c r="Q29" s="11" t="s">
        <v>29</v>
      </c>
      <c r="R29" s="11"/>
      <c r="S29" s="10"/>
      <c r="T29" s="10"/>
      <c r="U29" s="10"/>
    </row>
    <row r="30" s="1" customFormat="true" ht="12.75" hidden="false" customHeight="false" outlineLevel="0" collapsed="false">
      <c r="A30" s="56" t="n">
        <v>45689</v>
      </c>
      <c r="B30" s="11" t="s">
        <v>164</v>
      </c>
      <c r="C30" s="22" t="s">
        <v>165</v>
      </c>
      <c r="D30" s="11" t="s">
        <v>166</v>
      </c>
      <c r="E30" s="22" t="s">
        <v>25</v>
      </c>
      <c r="F30" s="22" t="s">
        <v>26</v>
      </c>
      <c r="G30" s="22" t="s">
        <v>27</v>
      </c>
      <c r="H30" s="23" t="n">
        <v>2</v>
      </c>
      <c r="I30" s="24" t="n">
        <v>0.21</v>
      </c>
      <c r="J30" s="23" t="n">
        <v>2</v>
      </c>
      <c r="K30" s="23" t="n">
        <v>3.6</v>
      </c>
      <c r="L30" s="25" t="n">
        <f aca="false">J30/K30</f>
        <v>0.555555555555556</v>
      </c>
      <c r="M30" s="22" t="n">
        <v>9</v>
      </c>
      <c r="N30" s="26" t="n">
        <v>0.157</v>
      </c>
      <c r="O30" s="27" t="s">
        <v>28</v>
      </c>
      <c r="P30" s="22" t="s">
        <v>28</v>
      </c>
      <c r="Q30" s="11" t="s">
        <v>75</v>
      </c>
      <c r="R30" s="11"/>
    </row>
    <row r="31" s="1" customFormat="true" ht="12.75" hidden="false" customHeight="false" outlineLevel="0" collapsed="false">
      <c r="A31" s="56" t="n">
        <v>45717</v>
      </c>
      <c r="B31" s="11" t="s">
        <v>167</v>
      </c>
      <c r="C31" s="22" t="s">
        <v>168</v>
      </c>
      <c r="D31" s="11" t="s">
        <v>169</v>
      </c>
      <c r="E31" s="22" t="s">
        <v>25</v>
      </c>
      <c r="F31" s="22" t="s">
        <v>26</v>
      </c>
      <c r="G31" s="22" t="s">
        <v>27</v>
      </c>
      <c r="H31" s="23" t="n">
        <v>0.815</v>
      </c>
      <c r="I31" s="24" t="n">
        <v>0.1</v>
      </c>
      <c r="J31" s="23" t="n">
        <v>0.815</v>
      </c>
      <c r="K31" s="23" t="n">
        <v>1.9</v>
      </c>
      <c r="L31" s="25" t="n">
        <f aca="false">J31/K31</f>
        <v>0.428947368421053</v>
      </c>
      <c r="M31" s="22" t="n">
        <v>12</v>
      </c>
      <c r="N31" s="26" t="n">
        <v>0.141</v>
      </c>
      <c r="O31" s="27" t="s">
        <v>28</v>
      </c>
      <c r="P31" s="22" t="s">
        <v>28</v>
      </c>
      <c r="Q31" s="11" t="s">
        <v>29</v>
      </c>
      <c r="R31" s="11"/>
      <c r="S31" s="1" t="s">
        <v>170</v>
      </c>
    </row>
    <row r="32" s="1" customFormat="true" ht="12.75" hidden="false" customHeight="false" outlineLevel="0" collapsed="false">
      <c r="A32" s="56" t="n">
        <v>45717</v>
      </c>
      <c r="B32" s="11" t="s">
        <v>171</v>
      </c>
      <c r="C32" s="22" t="s">
        <v>93</v>
      </c>
      <c r="D32" s="11" t="s">
        <v>172</v>
      </c>
      <c r="E32" s="22" t="s">
        <v>25</v>
      </c>
      <c r="F32" s="22" t="s">
        <v>26</v>
      </c>
      <c r="G32" s="22" t="s">
        <v>27</v>
      </c>
      <c r="H32" s="23" t="n">
        <v>18</v>
      </c>
      <c r="I32" s="24" t="n">
        <v>2.45</v>
      </c>
      <c r="J32" s="23" t="n">
        <v>18</v>
      </c>
      <c r="K32" s="23" t="n">
        <v>30</v>
      </c>
      <c r="L32" s="25" t="n">
        <f aca="false">J32/K32</f>
        <v>0.6</v>
      </c>
      <c r="M32" s="22" t="n">
        <v>12</v>
      </c>
      <c r="N32" s="26" t="n">
        <v>0.147</v>
      </c>
      <c r="O32" s="27" t="s">
        <v>28</v>
      </c>
      <c r="P32" s="22" t="s">
        <v>28</v>
      </c>
      <c r="Q32" s="11" t="s">
        <v>29</v>
      </c>
      <c r="R32" s="11"/>
      <c r="S32" s="1" t="s">
        <v>173</v>
      </c>
    </row>
    <row r="33" s="1" customFormat="true" ht="12.75" hidden="false" customHeight="false" outlineLevel="0" collapsed="false">
      <c r="A33" s="56" t="n">
        <v>45717</v>
      </c>
      <c r="B33" s="11" t="s">
        <v>174</v>
      </c>
      <c r="C33" s="22" t="s">
        <v>93</v>
      </c>
      <c r="D33" s="11" t="s">
        <v>175</v>
      </c>
      <c r="E33" s="22" t="s">
        <v>25</v>
      </c>
      <c r="F33" s="22" t="s">
        <v>26</v>
      </c>
      <c r="G33" s="22" t="s">
        <v>27</v>
      </c>
      <c r="H33" s="23" t="n">
        <v>5.5</v>
      </c>
      <c r="I33" s="24"/>
      <c r="J33" s="23" t="n">
        <v>5.5</v>
      </c>
      <c r="K33" s="23" t="n">
        <v>7.4</v>
      </c>
      <c r="L33" s="25" t="n">
        <f aca="false">J33/K33</f>
        <v>0.743243243243243</v>
      </c>
      <c r="M33" s="22" t="n">
        <v>12</v>
      </c>
      <c r="N33" s="26" t="n">
        <v>0.14</v>
      </c>
      <c r="O33" s="27" t="s">
        <v>28</v>
      </c>
      <c r="P33" s="22" t="s">
        <v>28</v>
      </c>
      <c r="Q33" s="11" t="s">
        <v>29</v>
      </c>
      <c r="R33" s="11"/>
      <c r="S33" s="1" t="s">
        <v>176</v>
      </c>
    </row>
    <row r="34" s="1" customFormat="true" ht="12.75" hidden="false" customHeight="false" outlineLevel="0" collapsed="false">
      <c r="A34" s="56" t="n">
        <v>45689</v>
      </c>
      <c r="B34" s="11" t="s">
        <v>177</v>
      </c>
      <c r="C34" s="22" t="s">
        <v>32</v>
      </c>
      <c r="D34" s="11" t="s">
        <v>178</v>
      </c>
      <c r="E34" s="22" t="s">
        <v>25</v>
      </c>
      <c r="F34" s="22" t="s">
        <v>26</v>
      </c>
      <c r="G34" s="22" t="s">
        <v>27</v>
      </c>
      <c r="H34" s="23" t="n">
        <v>4</v>
      </c>
      <c r="I34" s="24" t="n">
        <v>0.55</v>
      </c>
      <c r="J34" s="23" t="n">
        <v>4</v>
      </c>
      <c r="K34" s="23" t="n">
        <v>7</v>
      </c>
      <c r="L34" s="25" t="n">
        <f aca="false">J34/K34</f>
        <v>0.571428571428571</v>
      </c>
      <c r="M34" s="22" t="n">
        <v>12</v>
      </c>
      <c r="N34" s="26" t="n">
        <v>0.147</v>
      </c>
      <c r="O34" s="27" t="s">
        <v>39</v>
      </c>
      <c r="P34" s="22" t="s">
        <v>28</v>
      </c>
      <c r="Q34" s="11" t="s">
        <v>29</v>
      </c>
      <c r="R34" s="11" t="s">
        <v>179</v>
      </c>
      <c r="S34" s="1" t="s">
        <v>180</v>
      </c>
    </row>
    <row r="35" s="1" customFormat="true" ht="12.75" hidden="false" customHeight="false" outlineLevel="0" collapsed="false">
      <c r="A35" s="56" t="n">
        <v>45717</v>
      </c>
      <c r="B35" s="11" t="s">
        <v>181</v>
      </c>
      <c r="C35" s="22" t="s">
        <v>32</v>
      </c>
      <c r="D35" s="11" t="s">
        <v>182</v>
      </c>
      <c r="E35" s="22" t="s">
        <v>142</v>
      </c>
      <c r="F35" s="22" t="s">
        <v>26</v>
      </c>
      <c r="G35" s="22" t="s">
        <v>27</v>
      </c>
      <c r="H35" s="23" t="n">
        <v>7</v>
      </c>
      <c r="I35" s="24" t="n">
        <v>1.4</v>
      </c>
      <c r="J35" s="23" t="n">
        <v>7</v>
      </c>
      <c r="K35" s="23" t="n">
        <v>110</v>
      </c>
      <c r="L35" s="25" t="n">
        <v>0.7</v>
      </c>
      <c r="M35" s="22" t="n">
        <v>24</v>
      </c>
      <c r="N35" s="26" t="n">
        <v>0.2</v>
      </c>
      <c r="O35" s="27" t="s">
        <v>28</v>
      </c>
      <c r="P35" s="22" t="s">
        <v>28</v>
      </c>
      <c r="Q35" s="11" t="s">
        <v>75</v>
      </c>
      <c r="R35" s="11" t="s">
        <v>183</v>
      </c>
      <c r="S35" s="1" t="s">
        <v>184</v>
      </c>
    </row>
    <row r="36" s="1" customFormat="true" ht="12.75" hidden="false" customHeight="false" outlineLevel="0" collapsed="false">
      <c r="A36" s="56" t="n">
        <v>45748</v>
      </c>
      <c r="B36" s="11" t="s">
        <v>185</v>
      </c>
      <c r="C36" s="22" t="s">
        <v>93</v>
      </c>
      <c r="D36" s="11" t="s">
        <v>186</v>
      </c>
      <c r="E36" s="22" t="s">
        <v>25</v>
      </c>
      <c r="F36" s="22" t="s">
        <v>26</v>
      </c>
      <c r="G36" s="22" t="s">
        <v>51</v>
      </c>
      <c r="H36" s="23" t="n">
        <v>1.65</v>
      </c>
      <c r="I36" s="24" t="n">
        <v>0.22</v>
      </c>
      <c r="J36" s="23" t="n">
        <v>1.65</v>
      </c>
      <c r="K36" s="23" t="n">
        <v>2.2</v>
      </c>
      <c r="L36" s="25" t="n">
        <f aca="false">J36/K36</f>
        <v>0.75</v>
      </c>
      <c r="M36" s="22" t="n">
        <v>12</v>
      </c>
      <c r="N36" s="26" t="n">
        <v>0.144</v>
      </c>
      <c r="O36" s="27" t="s">
        <v>28</v>
      </c>
      <c r="P36" s="22" t="s">
        <v>28</v>
      </c>
      <c r="Q36" s="11" t="s">
        <v>29</v>
      </c>
      <c r="R36" s="11"/>
      <c r="S36" s="1" t="s">
        <v>187</v>
      </c>
    </row>
    <row r="37" s="1" customFormat="true" ht="12.75" hidden="false" customHeight="false" outlineLevel="0" collapsed="false">
      <c r="A37" s="56" t="n">
        <v>45748</v>
      </c>
      <c r="B37" s="11" t="s">
        <v>188</v>
      </c>
      <c r="C37" s="22" t="s">
        <v>93</v>
      </c>
      <c r="D37" s="11" t="s">
        <v>189</v>
      </c>
      <c r="E37" s="22" t="s">
        <v>25</v>
      </c>
      <c r="F37" s="22" t="s">
        <v>26</v>
      </c>
      <c r="G37" s="22" t="s">
        <v>27</v>
      </c>
      <c r="H37" s="23" t="n">
        <v>4.25</v>
      </c>
      <c r="I37" s="24" t="n">
        <v>0.715</v>
      </c>
      <c r="J37" s="23" t="n">
        <v>4.35</v>
      </c>
      <c r="K37" s="23" t="n">
        <v>7.7</v>
      </c>
      <c r="L37" s="25" t="n">
        <f aca="false">J37/K37</f>
        <v>0.564935064935065</v>
      </c>
      <c r="M37" s="22" t="n">
        <v>18</v>
      </c>
      <c r="N37" s="26" t="n">
        <v>0.145</v>
      </c>
      <c r="O37" s="27" t="s">
        <v>28</v>
      </c>
      <c r="P37" s="22" t="s">
        <v>28</v>
      </c>
      <c r="Q37" s="11" t="s">
        <v>29</v>
      </c>
      <c r="R37" s="11"/>
      <c r="S37" s="1" t="s">
        <v>190</v>
      </c>
    </row>
    <row r="38" s="1" customFormat="true" ht="12.75" hidden="false" customHeight="false" outlineLevel="0" collapsed="false">
      <c r="A38" s="56" t="n">
        <v>45748</v>
      </c>
      <c r="B38" s="11" t="s">
        <v>191</v>
      </c>
      <c r="C38" s="22" t="s">
        <v>32</v>
      </c>
      <c r="D38" s="11" t="s">
        <v>192</v>
      </c>
      <c r="E38" s="22" t="s">
        <v>25</v>
      </c>
      <c r="F38" s="22" t="s">
        <v>26</v>
      </c>
      <c r="G38" s="22" t="s">
        <v>51</v>
      </c>
      <c r="H38" s="23" t="n">
        <v>11.06</v>
      </c>
      <c r="I38" s="24" t="n">
        <v>1.85</v>
      </c>
      <c r="J38" s="23" t="n">
        <f aca="false">H38</f>
        <v>11.06</v>
      </c>
      <c r="K38" s="23" t="n">
        <v>14.75</v>
      </c>
      <c r="L38" s="25" t="n">
        <f aca="false">J38/K38</f>
        <v>0.749830508474576</v>
      </c>
      <c r="M38" s="22" t="n">
        <v>15</v>
      </c>
      <c r="N38" s="26" t="n">
        <v>0.142</v>
      </c>
      <c r="O38" s="27" t="s">
        <v>28</v>
      </c>
      <c r="P38" s="22" t="s">
        <v>28</v>
      </c>
      <c r="Q38" s="11" t="s">
        <v>75</v>
      </c>
      <c r="R38" s="11"/>
    </row>
    <row r="39" s="1" customFormat="true" ht="12.75" hidden="false" customHeight="false" outlineLevel="0" collapsed="false">
      <c r="A39" s="56" t="n">
        <v>45748</v>
      </c>
      <c r="B39" s="11" t="s">
        <v>193</v>
      </c>
      <c r="C39" s="22" t="s">
        <v>32</v>
      </c>
      <c r="D39" s="11" t="s">
        <v>194</v>
      </c>
      <c r="E39" s="22" t="s">
        <v>25</v>
      </c>
      <c r="F39" s="22" t="s">
        <v>26</v>
      </c>
      <c r="G39" s="22" t="s">
        <v>27</v>
      </c>
      <c r="H39" s="23" t="n">
        <v>13.2</v>
      </c>
      <c r="I39" s="24" t="n">
        <v>1.82</v>
      </c>
      <c r="J39" s="23" t="n">
        <v>13.2</v>
      </c>
      <c r="K39" s="23" t="n">
        <v>22</v>
      </c>
      <c r="L39" s="25" t="n">
        <f aca="false">J39/K39</f>
        <v>0.6</v>
      </c>
      <c r="M39" s="22" t="n">
        <v>12</v>
      </c>
      <c r="N39" s="26" t="n">
        <v>0.1471</v>
      </c>
      <c r="O39" s="27" t="s">
        <v>28</v>
      </c>
      <c r="P39" s="22" t="s">
        <v>28</v>
      </c>
      <c r="Q39" s="11" t="s">
        <v>29</v>
      </c>
      <c r="R39" s="11"/>
      <c r="S39" s="1" t="s">
        <v>195</v>
      </c>
    </row>
    <row r="40" s="1" customFormat="true" ht="12.75" hidden="false" customHeight="false" outlineLevel="0" collapsed="false">
      <c r="A40" s="56" t="n">
        <v>45748</v>
      </c>
      <c r="B40" s="11" t="s">
        <v>193</v>
      </c>
      <c r="C40" s="22" t="s">
        <v>32</v>
      </c>
      <c r="D40" s="11" t="s">
        <v>194</v>
      </c>
      <c r="E40" s="22" t="s">
        <v>25</v>
      </c>
      <c r="F40" s="22" t="s">
        <v>26</v>
      </c>
      <c r="G40" s="22" t="s">
        <v>27</v>
      </c>
      <c r="H40" s="23" t="n">
        <v>13.2</v>
      </c>
      <c r="I40" s="24" t="n">
        <v>1.82</v>
      </c>
      <c r="J40" s="23" t="n">
        <v>13.2</v>
      </c>
      <c r="K40" s="23" t="n">
        <v>22</v>
      </c>
      <c r="L40" s="25" t="n">
        <f aca="false">J40/K40</f>
        <v>0.6</v>
      </c>
      <c r="M40" s="22" t="n">
        <v>12</v>
      </c>
      <c r="N40" s="26" t="n">
        <v>0.1471</v>
      </c>
      <c r="O40" s="27" t="s">
        <v>28</v>
      </c>
      <c r="P40" s="22" t="s">
        <v>28</v>
      </c>
      <c r="Q40" s="11" t="s">
        <v>29</v>
      </c>
      <c r="R40" s="11"/>
      <c r="S40" s="1" t="s">
        <v>195</v>
      </c>
    </row>
    <row r="41" s="1" customFormat="true" ht="12.75" hidden="false" customHeight="false" outlineLevel="0" collapsed="false">
      <c r="A41" s="56" t="n">
        <v>45772</v>
      </c>
      <c r="B41" s="57" t="s">
        <v>196</v>
      </c>
      <c r="C41" s="22" t="s">
        <v>54</v>
      </c>
      <c r="D41" s="11" t="s">
        <v>197</v>
      </c>
      <c r="E41" s="22" t="s">
        <v>25</v>
      </c>
      <c r="F41" s="22" t="s">
        <v>26</v>
      </c>
      <c r="G41" s="22" t="s">
        <v>27</v>
      </c>
      <c r="H41" s="23" t="n">
        <v>4.8</v>
      </c>
      <c r="I41" s="24" t="n">
        <v>0.38</v>
      </c>
      <c r="J41" s="23" t="n">
        <v>4.8</v>
      </c>
      <c r="K41" s="23" t="n">
        <v>7.4</v>
      </c>
      <c r="L41" s="25" t="n">
        <f aca="false">J41/K41</f>
        <v>0.648648648648649</v>
      </c>
      <c r="M41" s="22" t="n">
        <v>6</v>
      </c>
      <c r="N41" s="26" t="n">
        <v>0.1506</v>
      </c>
      <c r="O41" s="27" t="s">
        <v>28</v>
      </c>
      <c r="P41" s="22" t="s">
        <v>28</v>
      </c>
      <c r="Q41" s="11" t="s">
        <v>29</v>
      </c>
      <c r="R41" s="11"/>
      <c r="S41" s="1" t="s">
        <v>198</v>
      </c>
    </row>
    <row r="42" s="1" customFormat="true" ht="15" hidden="false" customHeight="true" outlineLevel="0" collapsed="false">
      <c r="A42" s="56" t="n">
        <v>45778</v>
      </c>
      <c r="B42" s="11" t="s">
        <v>185</v>
      </c>
      <c r="C42" s="22" t="s">
        <v>93</v>
      </c>
      <c r="D42" s="11" t="s">
        <v>199</v>
      </c>
      <c r="E42" s="22" t="s">
        <v>25</v>
      </c>
      <c r="F42" s="22" t="s">
        <v>26</v>
      </c>
      <c r="G42" s="22" t="s">
        <v>51</v>
      </c>
      <c r="H42" s="23" t="n">
        <v>1.65</v>
      </c>
      <c r="I42" s="24" t="n">
        <v>0.22</v>
      </c>
      <c r="J42" s="23" t="n">
        <v>1.65</v>
      </c>
      <c r="K42" s="23" t="n">
        <v>2.2</v>
      </c>
      <c r="L42" s="25" t="n">
        <f aca="false">J42/K42</f>
        <v>0.75</v>
      </c>
      <c r="M42" s="22" t="n">
        <v>12</v>
      </c>
      <c r="N42" s="26" t="n">
        <v>0.1443</v>
      </c>
      <c r="O42" s="27" t="s">
        <v>39</v>
      </c>
      <c r="P42" s="22" t="s">
        <v>39</v>
      </c>
      <c r="Q42" s="11" t="s">
        <v>29</v>
      </c>
      <c r="R42" s="11" t="s">
        <v>200</v>
      </c>
    </row>
    <row r="43" s="1" customFormat="true" ht="12.75" hidden="false" customHeight="false" outlineLevel="0" collapsed="false">
      <c r="A43" s="56" t="n">
        <v>45748</v>
      </c>
      <c r="B43" s="11" t="s">
        <v>201</v>
      </c>
      <c r="C43" s="22" t="s">
        <v>93</v>
      </c>
      <c r="D43" s="11" t="s">
        <v>202</v>
      </c>
      <c r="E43" s="22" t="s">
        <v>25</v>
      </c>
      <c r="F43" s="22" t="s">
        <v>26</v>
      </c>
      <c r="G43" s="22" t="s">
        <v>51</v>
      </c>
      <c r="H43" s="23" t="n">
        <v>11.8</v>
      </c>
      <c r="I43" s="24" t="n">
        <v>1.65</v>
      </c>
      <c r="J43" s="23" t="n">
        <v>11.8</v>
      </c>
      <c r="K43" s="23" t="n">
        <v>18.2</v>
      </c>
      <c r="L43" s="25" t="n">
        <f aca="false">J43/K43</f>
        <v>0.648351648351648</v>
      </c>
      <c r="M43" s="22" t="n">
        <v>12</v>
      </c>
      <c r="N43" s="26" t="n">
        <v>0.15</v>
      </c>
      <c r="O43" s="27" t="s">
        <v>39</v>
      </c>
      <c r="P43" s="22" t="s">
        <v>28</v>
      </c>
      <c r="Q43" s="11" t="s">
        <v>29</v>
      </c>
      <c r="R43" s="11" t="s">
        <v>203</v>
      </c>
      <c r="S43" s="1" t="s">
        <v>204</v>
      </c>
    </row>
    <row r="44" s="1" customFormat="true" ht="12.75" hidden="false" customHeight="false" outlineLevel="0" collapsed="false">
      <c r="A44" s="56" t="n">
        <v>45748</v>
      </c>
      <c r="B44" s="11" t="s">
        <v>205</v>
      </c>
      <c r="C44" s="22" t="s">
        <v>93</v>
      </c>
      <c r="D44" s="11" t="s">
        <v>206</v>
      </c>
      <c r="E44" s="22" t="s">
        <v>25</v>
      </c>
      <c r="F44" s="22" t="s">
        <v>26</v>
      </c>
      <c r="G44" s="22" t="s">
        <v>27</v>
      </c>
      <c r="H44" s="23" t="n">
        <v>3.75</v>
      </c>
      <c r="I44" s="24" t="n">
        <v>0.26</v>
      </c>
      <c r="J44" s="23" t="n">
        <v>3.75</v>
      </c>
      <c r="K44" s="23" t="n">
        <v>5.36</v>
      </c>
      <c r="L44" s="25" t="n">
        <f aca="false">J44/K44</f>
        <v>0.699626865671642</v>
      </c>
      <c r="M44" s="22" t="n">
        <v>6</v>
      </c>
      <c r="N44" s="26" t="n">
        <v>0.15</v>
      </c>
      <c r="O44" s="27" t="s">
        <v>28</v>
      </c>
      <c r="P44" s="22" t="s">
        <v>28</v>
      </c>
      <c r="Q44" s="11" t="s">
        <v>29</v>
      </c>
      <c r="R44" s="11" t="s">
        <v>207</v>
      </c>
      <c r="S44" s="1" t="s">
        <v>208</v>
      </c>
    </row>
    <row r="45" s="1" customFormat="true" ht="12.75" hidden="false" customHeight="false" outlineLevel="0" collapsed="false">
      <c r="A45" s="56" t="n">
        <v>45748</v>
      </c>
      <c r="B45" s="11" t="s">
        <v>209</v>
      </c>
      <c r="C45" s="22" t="s">
        <v>32</v>
      </c>
      <c r="D45" s="11" t="s">
        <v>210</v>
      </c>
      <c r="E45" s="22" t="s">
        <v>25</v>
      </c>
      <c r="F45" s="22" t="s">
        <v>26</v>
      </c>
      <c r="G45" s="22" t="s">
        <v>51</v>
      </c>
      <c r="H45" s="23" t="n">
        <v>15.73</v>
      </c>
      <c r="I45" s="24" t="n">
        <v>2.91</v>
      </c>
      <c r="J45" s="23" t="n">
        <v>15.73</v>
      </c>
      <c r="K45" s="23" t="n">
        <v>24.2</v>
      </c>
      <c r="L45" s="25" t="n">
        <f aca="false">J45/K45</f>
        <v>0.65</v>
      </c>
      <c r="M45" s="22" t="n">
        <v>18</v>
      </c>
      <c r="N45" s="26" t="n">
        <v>0.13</v>
      </c>
      <c r="O45" s="27" t="s">
        <v>28</v>
      </c>
      <c r="P45" s="22" t="s">
        <v>28</v>
      </c>
      <c r="Q45" s="11" t="s">
        <v>75</v>
      </c>
      <c r="R45" s="11" t="s">
        <v>211</v>
      </c>
      <c r="S45" s="1" t="s">
        <v>212</v>
      </c>
    </row>
    <row r="46" s="1" customFormat="true" ht="25.5" hidden="false" customHeight="true" outlineLevel="0" collapsed="false">
      <c r="A46" s="56" t="n">
        <v>45772</v>
      </c>
      <c r="B46" s="81" t="s">
        <v>213</v>
      </c>
      <c r="C46" s="22" t="s">
        <v>93</v>
      </c>
      <c r="D46" s="11" t="s">
        <v>94</v>
      </c>
      <c r="E46" s="22" t="s">
        <v>25</v>
      </c>
      <c r="F46" s="22" t="s">
        <v>26</v>
      </c>
      <c r="G46" s="22" t="s">
        <v>27</v>
      </c>
      <c r="H46" s="23" t="n">
        <v>1.125</v>
      </c>
      <c r="I46" s="24" t="n">
        <v>0.118</v>
      </c>
      <c r="J46" s="23" t="n">
        <v>1.125</v>
      </c>
      <c r="K46" s="23" t="n">
        <v>1.5</v>
      </c>
      <c r="L46" s="25" t="n">
        <f aca="false">J46/K46</f>
        <v>0.75</v>
      </c>
      <c r="M46" s="22" t="n">
        <v>9</v>
      </c>
      <c r="N46" s="26" t="n">
        <v>0.1489</v>
      </c>
      <c r="O46" s="27" t="s">
        <v>28</v>
      </c>
      <c r="P46" s="22" t="s">
        <v>28</v>
      </c>
      <c r="Q46" s="11" t="s">
        <v>29</v>
      </c>
      <c r="R46" s="11"/>
    </row>
    <row r="47" s="1" customFormat="true" ht="12.75" hidden="false" customHeight="false" outlineLevel="0" collapsed="false">
      <c r="A47" s="56" t="n">
        <v>45778</v>
      </c>
      <c r="B47" s="11" t="s">
        <v>214</v>
      </c>
      <c r="C47" s="22" t="s">
        <v>66</v>
      </c>
      <c r="D47" s="11" t="s">
        <v>215</v>
      </c>
      <c r="E47" s="22" t="s">
        <v>25</v>
      </c>
      <c r="F47" s="22" t="s">
        <v>26</v>
      </c>
      <c r="G47" s="22" t="s">
        <v>27</v>
      </c>
      <c r="H47" s="23" t="n">
        <v>9</v>
      </c>
      <c r="I47" s="24" t="n">
        <v>0.41</v>
      </c>
      <c r="J47" s="23" t="n">
        <v>9</v>
      </c>
      <c r="K47" s="23" t="n">
        <v>16</v>
      </c>
      <c r="L47" s="25" t="n">
        <f aca="false">J47/K47</f>
        <v>0.5625</v>
      </c>
      <c r="M47" s="22" t="n">
        <v>12</v>
      </c>
      <c r="N47" s="26" t="n">
        <v>0.1985</v>
      </c>
      <c r="O47" s="27" t="s">
        <v>28</v>
      </c>
      <c r="P47" s="22" t="s">
        <v>28</v>
      </c>
      <c r="Q47" s="11" t="s">
        <v>29</v>
      </c>
      <c r="R47" s="11"/>
    </row>
    <row r="48" s="1" customFormat="true" ht="12.75" hidden="false" customHeight="false" outlineLevel="0" collapsed="false">
      <c r="A48" s="56" t="n">
        <v>45809</v>
      </c>
      <c r="B48" s="11" t="s">
        <v>216</v>
      </c>
      <c r="C48" s="22" t="s">
        <v>217</v>
      </c>
      <c r="D48" s="11" t="s">
        <v>218</v>
      </c>
      <c r="E48" s="22" t="s">
        <v>25</v>
      </c>
      <c r="F48" s="22" t="s">
        <v>26</v>
      </c>
      <c r="G48" s="22" t="s">
        <v>51</v>
      </c>
      <c r="H48" s="23" t="n">
        <v>58</v>
      </c>
      <c r="I48" s="24"/>
      <c r="J48" s="23" t="n">
        <v>58</v>
      </c>
      <c r="K48" s="23" t="n">
        <v>76.58</v>
      </c>
      <c r="L48" s="25" t="n">
        <f aca="false">J48/K48</f>
        <v>0.757377905458344</v>
      </c>
      <c r="M48" s="22" t="n">
        <v>24</v>
      </c>
      <c r="N48" s="26"/>
      <c r="O48" s="27" t="s">
        <v>28</v>
      </c>
      <c r="P48" s="22" t="s">
        <v>28</v>
      </c>
      <c r="Q48" s="11" t="s">
        <v>29</v>
      </c>
      <c r="R48" s="11"/>
      <c r="S48" s="1" t="s">
        <v>219</v>
      </c>
    </row>
    <row r="49" s="1" customFormat="true" ht="12.75" hidden="false" customHeight="false" outlineLevel="0" collapsed="false">
      <c r="A49" s="56" t="n">
        <v>45809</v>
      </c>
      <c r="B49" s="11" t="s">
        <v>220</v>
      </c>
      <c r="C49" s="22" t="s">
        <v>221</v>
      </c>
      <c r="D49" s="11" t="s">
        <v>222</v>
      </c>
      <c r="E49" s="22" t="s">
        <v>25</v>
      </c>
      <c r="F49" s="22" t="s">
        <v>26</v>
      </c>
      <c r="G49" s="22" t="s">
        <v>27</v>
      </c>
      <c r="H49" s="23" t="n">
        <v>14</v>
      </c>
      <c r="I49" s="24" t="n">
        <v>2.95</v>
      </c>
      <c r="J49" s="23" t="n">
        <v>14</v>
      </c>
      <c r="K49" s="23" t="n">
        <v>41</v>
      </c>
      <c r="L49" s="25" t="n">
        <f aca="false">J49/K49</f>
        <v>0.341463414634146</v>
      </c>
      <c r="M49" s="22" t="n">
        <v>18</v>
      </c>
      <c r="N49" s="26" t="n">
        <v>0.1495</v>
      </c>
      <c r="O49" s="27" t="s">
        <v>28</v>
      </c>
      <c r="P49" s="22" t="s">
        <v>28</v>
      </c>
      <c r="Q49" s="11" t="s">
        <v>223</v>
      </c>
      <c r="R49" s="11" t="s">
        <v>129</v>
      </c>
    </row>
    <row r="50" s="1" customFormat="true" ht="12.75" hidden="false" customHeight="false" outlineLevel="0" collapsed="false">
      <c r="A50" s="56" t="n">
        <v>45809</v>
      </c>
      <c r="B50" s="11" t="s">
        <v>224</v>
      </c>
      <c r="C50" s="22" t="s">
        <v>32</v>
      </c>
      <c r="D50" s="11" t="s">
        <v>225</v>
      </c>
      <c r="E50" s="22" t="s">
        <v>25</v>
      </c>
      <c r="F50" s="22" t="s">
        <v>26</v>
      </c>
      <c r="G50" s="22" t="s">
        <v>27</v>
      </c>
      <c r="H50" s="23" t="n">
        <v>3</v>
      </c>
      <c r="I50" s="24" t="n">
        <v>0.140625</v>
      </c>
      <c r="J50" s="23" t="n">
        <v>3</v>
      </c>
      <c r="K50" s="23" t="n">
        <v>6</v>
      </c>
      <c r="L50" s="25" t="n">
        <f aca="false">J50/K50</f>
        <v>0.5</v>
      </c>
      <c r="M50" s="22" t="n">
        <v>12</v>
      </c>
      <c r="N50" s="26" t="n">
        <v>0.2025</v>
      </c>
      <c r="O50" s="27" t="s">
        <v>28</v>
      </c>
      <c r="P50" s="22" t="s">
        <v>28</v>
      </c>
      <c r="Q50" s="11" t="s">
        <v>29</v>
      </c>
      <c r="R50" s="11" t="s">
        <v>129</v>
      </c>
    </row>
    <row r="51" s="1" customFormat="true" ht="15" hidden="false" customHeight="true" outlineLevel="0" collapsed="false">
      <c r="A51" s="82" t="n">
        <v>45901</v>
      </c>
      <c r="B51" s="11" t="s">
        <v>226</v>
      </c>
      <c r="C51" s="22" t="s">
        <v>32</v>
      </c>
      <c r="D51" s="11" t="s">
        <v>227</v>
      </c>
      <c r="E51" s="22" t="s">
        <v>25</v>
      </c>
      <c r="F51" s="22" t="s">
        <v>26</v>
      </c>
      <c r="G51" s="22" t="s">
        <v>51</v>
      </c>
      <c r="H51" s="23" t="n">
        <v>2.9</v>
      </c>
      <c r="I51" s="24"/>
      <c r="J51" s="23" t="n">
        <v>2.9</v>
      </c>
      <c r="K51" s="23" t="n">
        <v>4.375</v>
      </c>
      <c r="L51" s="25" t="n">
        <f aca="false">J51/K51</f>
        <v>0.662857142857143</v>
      </c>
      <c r="M51" s="22" t="n">
        <v>17</v>
      </c>
      <c r="N51" s="26"/>
      <c r="O51" s="27" t="s">
        <v>28</v>
      </c>
      <c r="P51" s="22" t="s">
        <v>28</v>
      </c>
      <c r="Q51" s="11" t="s">
        <v>29</v>
      </c>
      <c r="R51" s="11" t="s">
        <v>228</v>
      </c>
      <c r="S51" s="1" t="s">
        <v>229</v>
      </c>
    </row>
    <row r="52" s="1" customFormat="true" ht="12.75" hidden="false" customHeight="false" outlineLevel="0" collapsed="false">
      <c r="A52" s="82" t="n">
        <v>45901</v>
      </c>
      <c r="B52" s="11" t="s">
        <v>230</v>
      </c>
      <c r="C52" s="22" t="s">
        <v>231</v>
      </c>
      <c r="D52" s="11" t="s">
        <v>232</v>
      </c>
      <c r="E52" s="22" t="s">
        <v>142</v>
      </c>
      <c r="F52" s="22" t="s">
        <v>26</v>
      </c>
      <c r="G52" s="22" t="s">
        <v>51</v>
      </c>
      <c r="H52" s="23" t="n">
        <v>35.5</v>
      </c>
      <c r="I52" s="24" t="n">
        <v>1.02</v>
      </c>
      <c r="J52" s="23" t="n">
        <v>35.5</v>
      </c>
      <c r="K52" s="23" t="n">
        <v>50</v>
      </c>
      <c r="L52" s="25" t="n">
        <f aca="false">J52/K52</f>
        <v>0.71</v>
      </c>
      <c r="M52" s="22" t="n">
        <v>18</v>
      </c>
      <c r="N52" s="26" t="n">
        <v>0.1096</v>
      </c>
      <c r="O52" s="27" t="s">
        <v>28</v>
      </c>
      <c r="P52" s="22" t="s">
        <v>28</v>
      </c>
      <c r="Q52" s="11" t="s">
        <v>29</v>
      </c>
      <c r="R52" s="11" t="s">
        <v>129</v>
      </c>
    </row>
    <row r="53" s="1" customFormat="true" ht="12.75" hidden="false" customHeight="false" outlineLevel="0" collapsed="false">
      <c r="A53" s="82" t="n">
        <v>45901</v>
      </c>
      <c r="B53" s="11" t="s">
        <v>233</v>
      </c>
      <c r="C53" s="22" t="s">
        <v>66</v>
      </c>
      <c r="D53" s="11" t="s">
        <v>234</v>
      </c>
      <c r="E53" s="22" t="s">
        <v>142</v>
      </c>
      <c r="F53" s="22" t="s">
        <v>26</v>
      </c>
      <c r="G53" s="22" t="s">
        <v>27</v>
      </c>
      <c r="H53" s="23" t="n">
        <v>25.6</v>
      </c>
      <c r="I53" s="24" t="n">
        <v>0.845</v>
      </c>
      <c r="J53" s="23" t="n">
        <v>25.6</v>
      </c>
      <c r="K53" s="23" t="n">
        <v>38.175</v>
      </c>
      <c r="L53" s="25" t="n">
        <f aca="false">J53/K53</f>
        <v>0.670595939751146</v>
      </c>
      <c r="M53" s="22" t="n">
        <v>12</v>
      </c>
      <c r="N53" s="26" t="n">
        <v>0.1358</v>
      </c>
      <c r="O53" s="27" t="s">
        <v>28</v>
      </c>
      <c r="P53" s="22" t="s">
        <v>28</v>
      </c>
      <c r="Q53" s="11" t="s">
        <v>29</v>
      </c>
      <c r="R53" s="11" t="s">
        <v>129</v>
      </c>
    </row>
    <row r="54" s="1" customFormat="true" ht="12.75" hidden="false" customHeight="false" outlineLevel="0" collapsed="false">
      <c r="A54" s="82" t="n">
        <v>45931</v>
      </c>
      <c r="B54" s="11" t="s">
        <v>235</v>
      </c>
      <c r="C54" s="22" t="s">
        <v>146</v>
      </c>
      <c r="D54" s="11" t="s">
        <v>236</v>
      </c>
      <c r="E54" s="22" t="s">
        <v>237</v>
      </c>
      <c r="F54" s="22" t="s">
        <v>26</v>
      </c>
      <c r="G54" s="22" t="s">
        <v>51</v>
      </c>
      <c r="H54" s="23" t="n">
        <v>5.5</v>
      </c>
      <c r="I54" s="24" t="n">
        <v>0.742</v>
      </c>
      <c r="J54" s="23" t="n">
        <v>5.5</v>
      </c>
      <c r="K54" s="23" t="n">
        <v>12</v>
      </c>
      <c r="L54" s="25" t="n">
        <f aca="false">J54/K54</f>
        <v>0.458333333333333</v>
      </c>
      <c r="M54" s="22" t="n">
        <v>12</v>
      </c>
      <c r="N54" s="26" t="n">
        <v>0.1443</v>
      </c>
      <c r="O54" s="27" t="s">
        <v>28</v>
      </c>
      <c r="P54" s="22" t="s">
        <v>28</v>
      </c>
      <c r="Q54" s="11" t="s">
        <v>29</v>
      </c>
      <c r="R54" s="11" t="s">
        <v>129</v>
      </c>
    </row>
    <row r="55" s="1" customFormat="true" ht="12.75" hidden="false" customHeight="false" outlineLevel="0" collapsed="false">
      <c r="A55" s="82" t="n">
        <v>45931</v>
      </c>
      <c r="B55" s="11" t="s">
        <v>238</v>
      </c>
      <c r="C55" s="22" t="s">
        <v>66</v>
      </c>
      <c r="D55" s="11" t="s">
        <v>239</v>
      </c>
      <c r="E55" s="22" t="s">
        <v>25</v>
      </c>
      <c r="F55" s="22" t="s">
        <v>26</v>
      </c>
      <c r="G55" s="22" t="s">
        <v>51</v>
      </c>
      <c r="H55" s="23" t="n">
        <v>1.15</v>
      </c>
      <c r="I55" s="24" t="n">
        <v>0.155</v>
      </c>
      <c r="J55" s="23" t="n">
        <v>1.15</v>
      </c>
      <c r="K55" s="23" t="n">
        <v>2</v>
      </c>
      <c r="L55" s="25" t="n">
        <f aca="false">J55/K55</f>
        <v>0.575</v>
      </c>
      <c r="M55" s="22" t="n">
        <v>12</v>
      </c>
      <c r="N55" s="26" t="n">
        <v>0.1443</v>
      </c>
      <c r="O55" s="27" t="s">
        <v>28</v>
      </c>
      <c r="P55" s="22" t="s">
        <v>28</v>
      </c>
      <c r="Q55" s="11" t="s">
        <v>29</v>
      </c>
      <c r="R55" s="11" t="s">
        <v>129</v>
      </c>
    </row>
    <row r="56" s="1" customFormat="true" ht="12.75" hidden="false" customHeight="false" outlineLevel="0" collapsed="false">
      <c r="A56" s="82" t="n">
        <v>45931</v>
      </c>
      <c r="B56" s="58" t="s">
        <v>240</v>
      </c>
      <c r="C56" s="22" t="s">
        <v>146</v>
      </c>
      <c r="D56" s="11" t="s">
        <v>241</v>
      </c>
      <c r="E56" s="22" t="s">
        <v>25</v>
      </c>
      <c r="F56" s="22" t="s">
        <v>26</v>
      </c>
      <c r="G56" s="22" t="s">
        <v>51</v>
      </c>
      <c r="H56" s="23" t="n">
        <v>1.9</v>
      </c>
      <c r="I56" s="24" t="n">
        <v>0.207</v>
      </c>
      <c r="J56" s="23" t="n">
        <v>1.9</v>
      </c>
      <c r="K56" s="23" t="n">
        <v>3.1</v>
      </c>
      <c r="L56" s="25" t="n">
        <f aca="false">J56/K56</f>
        <v>0.612903225806452</v>
      </c>
      <c r="M56" s="22" t="n">
        <v>11</v>
      </c>
      <c r="N56" s="26" t="n">
        <v>0.153</v>
      </c>
      <c r="O56" s="27" t="s">
        <v>39</v>
      </c>
      <c r="P56" s="22" t="s">
        <v>28</v>
      </c>
      <c r="Q56" s="11" t="s">
        <v>75</v>
      </c>
      <c r="R56" s="11" t="s">
        <v>242</v>
      </c>
    </row>
    <row r="57" s="1" customFormat="true" ht="12.75" hidden="false" customHeight="false" outlineLevel="0" collapsed="false">
      <c r="A57" s="82" t="n">
        <v>45931</v>
      </c>
      <c r="B57" s="83" t="s">
        <v>243</v>
      </c>
      <c r="C57" s="84" t="s">
        <v>146</v>
      </c>
      <c r="D57" s="85" t="s">
        <v>244</v>
      </c>
      <c r="E57" s="84" t="s">
        <v>25</v>
      </c>
      <c r="F57" s="84" t="s">
        <v>26</v>
      </c>
      <c r="G57" s="84" t="s">
        <v>51</v>
      </c>
      <c r="H57" s="86" t="n">
        <v>4.8</v>
      </c>
      <c r="I57" s="87" t="n">
        <v>0.356</v>
      </c>
      <c r="J57" s="86" t="n">
        <v>4.8</v>
      </c>
      <c r="K57" s="86" t="n">
        <v>9.4</v>
      </c>
      <c r="L57" s="88" t="n">
        <f aca="false">J57/K57</f>
        <v>0.51063829787234</v>
      </c>
      <c r="M57" s="84" t="n">
        <v>12</v>
      </c>
      <c r="N57" s="89" t="n">
        <v>0.1398</v>
      </c>
      <c r="O57" s="90" t="s">
        <v>28</v>
      </c>
      <c r="P57" s="84" t="s">
        <v>28</v>
      </c>
      <c r="Q57" s="85" t="s">
        <v>29</v>
      </c>
      <c r="R57" s="85" t="s">
        <v>245</v>
      </c>
    </row>
    <row r="58" s="1" customFormat="true" ht="12.75" hidden="false" customHeight="false" outlineLevel="0" collapsed="false">
      <c r="A58" s="82" t="n">
        <v>45931</v>
      </c>
      <c r="B58" s="83" t="s">
        <v>246</v>
      </c>
      <c r="C58" s="84" t="s">
        <v>146</v>
      </c>
      <c r="D58" s="85" t="s">
        <v>244</v>
      </c>
      <c r="E58" s="84" t="s">
        <v>25</v>
      </c>
      <c r="F58" s="84"/>
      <c r="G58" s="84"/>
      <c r="H58" s="86" t="n">
        <v>16.75</v>
      </c>
      <c r="I58" s="87"/>
      <c r="J58" s="86" t="n">
        <v>16.75</v>
      </c>
      <c r="K58" s="86" t="n">
        <v>24</v>
      </c>
      <c r="L58" s="88" t="n">
        <f aca="false">J58/K58</f>
        <v>0.697916666666667</v>
      </c>
      <c r="M58" s="84"/>
      <c r="N58" s="89"/>
      <c r="O58" s="90"/>
      <c r="P58" s="84"/>
      <c r="Q58" s="85" t="s">
        <v>29</v>
      </c>
      <c r="R58" s="85" t="s">
        <v>129</v>
      </c>
    </row>
    <row r="59" s="1" customFormat="true" ht="12.75" hidden="false" customHeight="false" outlineLevel="0" collapsed="false">
      <c r="A59" s="82" t="n">
        <v>45931</v>
      </c>
      <c r="B59" s="83" t="s">
        <v>247</v>
      </c>
      <c r="C59" s="84" t="s">
        <v>146</v>
      </c>
      <c r="D59" s="85"/>
      <c r="E59" s="84" t="s">
        <v>142</v>
      </c>
      <c r="F59" s="84" t="s">
        <v>26</v>
      </c>
      <c r="G59" s="84" t="s">
        <v>27</v>
      </c>
      <c r="H59" s="86" t="n">
        <v>15.48</v>
      </c>
      <c r="I59" s="87" t="n">
        <v>0.506</v>
      </c>
      <c r="J59" s="86" t="n">
        <v>15.48</v>
      </c>
      <c r="K59" s="86" t="n">
        <v>21</v>
      </c>
      <c r="L59" s="88" t="n">
        <f aca="false">J59/K59</f>
        <v>0.737142857142857</v>
      </c>
      <c r="M59" s="84" t="n">
        <v>9</v>
      </c>
      <c r="N59" s="89" t="n">
        <v>0.1464</v>
      </c>
      <c r="O59" s="90" t="s">
        <v>28</v>
      </c>
      <c r="P59" s="84" t="s">
        <v>28</v>
      </c>
      <c r="Q59" s="85" t="s">
        <v>29</v>
      </c>
      <c r="R59" s="85" t="s">
        <v>129</v>
      </c>
    </row>
    <row r="60" s="1" customFormat="true" ht="12.75" hidden="false" customHeight="false" outlineLevel="0" collapsed="false">
      <c r="A60" s="82" t="n">
        <v>45931</v>
      </c>
      <c r="B60" s="83" t="s">
        <v>248</v>
      </c>
      <c r="C60" s="84" t="s">
        <v>146</v>
      </c>
      <c r="D60" s="85" t="s">
        <v>249</v>
      </c>
      <c r="E60" s="84" t="s">
        <v>142</v>
      </c>
      <c r="F60" s="84" t="s">
        <v>26</v>
      </c>
      <c r="G60" s="84" t="s">
        <v>27</v>
      </c>
      <c r="H60" s="86" t="n">
        <v>10</v>
      </c>
      <c r="I60" s="87" t="n">
        <v>0.74</v>
      </c>
      <c r="J60" s="86" t="n">
        <v>10</v>
      </c>
      <c r="K60" s="86" t="n">
        <v>14</v>
      </c>
      <c r="L60" s="88" t="n">
        <f aca="false">J60/K60</f>
        <v>0.714285714285714</v>
      </c>
      <c r="M60" s="84" t="n">
        <v>12</v>
      </c>
      <c r="N60" s="89" t="n">
        <v>0.1471</v>
      </c>
      <c r="O60" s="90" t="s">
        <v>28</v>
      </c>
      <c r="P60" s="84" t="s">
        <v>28</v>
      </c>
      <c r="Q60" s="85" t="s">
        <v>29</v>
      </c>
      <c r="R60" s="85" t="s">
        <v>129</v>
      </c>
    </row>
    <row r="61" s="1" customFormat="true" ht="12.75" hidden="false" customHeight="false" outlineLevel="0" collapsed="false">
      <c r="A61" s="82" t="n">
        <v>45931</v>
      </c>
      <c r="B61" s="83" t="s">
        <v>250</v>
      </c>
      <c r="C61" s="84" t="s">
        <v>32</v>
      </c>
      <c r="D61" s="85"/>
      <c r="E61" s="84" t="s">
        <v>25</v>
      </c>
      <c r="F61" s="84" t="s">
        <v>26</v>
      </c>
      <c r="G61" s="84" t="s">
        <v>27</v>
      </c>
      <c r="H61" s="86" t="n">
        <v>3.7</v>
      </c>
      <c r="I61" s="87" t="n">
        <v>0.3</v>
      </c>
      <c r="J61" s="86" t="n">
        <v>3.7</v>
      </c>
      <c r="K61" s="86" t="n">
        <v>5.45</v>
      </c>
      <c r="L61" s="88" t="n">
        <f aca="false">J61/K61</f>
        <v>0.678899082568807</v>
      </c>
      <c r="M61" s="84" t="n">
        <v>18</v>
      </c>
      <c r="N61" s="89" t="n">
        <v>0.131</v>
      </c>
      <c r="O61" s="90" t="s">
        <v>28</v>
      </c>
      <c r="P61" s="84" t="s">
        <v>28</v>
      </c>
      <c r="Q61" s="85" t="s">
        <v>29</v>
      </c>
      <c r="R61" s="85" t="s">
        <v>251</v>
      </c>
      <c r="S61" s="1" t="s">
        <v>252</v>
      </c>
    </row>
    <row r="62" s="1" customFormat="true" ht="12.75" hidden="false" customHeight="false" outlineLevel="0" collapsed="false">
      <c r="A62" s="82" t="n">
        <v>46082</v>
      </c>
      <c r="B62" s="91" t="s">
        <v>253</v>
      </c>
      <c r="C62" s="84" t="s">
        <v>146</v>
      </c>
      <c r="D62" s="83"/>
      <c r="E62" s="84" t="s">
        <v>25</v>
      </c>
      <c r="F62" s="84" t="s">
        <v>26</v>
      </c>
      <c r="G62" s="84" t="s">
        <v>27</v>
      </c>
      <c r="H62" s="86" t="n">
        <v>1.6</v>
      </c>
      <c r="I62" s="87"/>
      <c r="J62" s="86"/>
      <c r="K62" s="86" t="n">
        <v>1.15</v>
      </c>
      <c r="L62" s="88" t="n">
        <f aca="false">H62/K62</f>
        <v>1.39130434782609</v>
      </c>
      <c r="M62" s="84" t="n">
        <v>12</v>
      </c>
      <c r="N62" s="89"/>
      <c r="O62" s="90" t="s">
        <v>28</v>
      </c>
      <c r="P62" s="84" t="s">
        <v>28</v>
      </c>
      <c r="Q62" s="85" t="s">
        <v>29</v>
      </c>
      <c r="R62" s="85"/>
    </row>
    <row r="63" s="1" customFormat="true" ht="12.75" hidden="false" customHeight="false" outlineLevel="0" collapsed="false">
      <c r="A63" s="82" t="n">
        <v>46082</v>
      </c>
      <c r="B63" s="91" t="s">
        <v>254</v>
      </c>
      <c r="C63" s="84" t="s">
        <v>54</v>
      </c>
      <c r="D63" s="83" t="s">
        <v>255</v>
      </c>
      <c r="E63" s="84" t="s">
        <v>142</v>
      </c>
      <c r="F63" s="84" t="s">
        <v>26</v>
      </c>
      <c r="G63" s="84" t="s">
        <v>51</v>
      </c>
      <c r="H63" s="86" t="n">
        <v>46.6</v>
      </c>
      <c r="I63" s="87"/>
      <c r="J63" s="86"/>
      <c r="K63" s="86" t="n">
        <v>57.5</v>
      </c>
      <c r="L63" s="88" t="n">
        <f aca="false">H63/K63</f>
        <v>0.810434782608696</v>
      </c>
      <c r="M63" s="84" t="n">
        <v>24</v>
      </c>
      <c r="N63" s="89"/>
      <c r="O63" s="90" t="s">
        <v>28</v>
      </c>
      <c r="P63" s="84" t="s">
        <v>28</v>
      </c>
      <c r="Q63" s="85"/>
      <c r="R63" s="85" t="s">
        <v>256</v>
      </c>
    </row>
    <row r="64" s="1" customFormat="true" ht="12.75" hidden="false" customHeight="false" outlineLevel="0" collapsed="false">
      <c r="A64" s="82" t="n">
        <v>46023</v>
      </c>
      <c r="B64" s="83" t="s">
        <v>257</v>
      </c>
      <c r="C64" s="84" t="s">
        <v>258</v>
      </c>
      <c r="D64" s="85" t="s">
        <v>259</v>
      </c>
      <c r="E64" s="84" t="s">
        <v>142</v>
      </c>
      <c r="F64" s="84" t="s">
        <v>26</v>
      </c>
      <c r="G64" s="84" t="s">
        <v>51</v>
      </c>
      <c r="H64" s="86" t="n">
        <v>31.95</v>
      </c>
      <c r="I64" s="87" t="n">
        <v>0.83</v>
      </c>
      <c r="J64" s="86" t="n">
        <v>32.35</v>
      </c>
      <c r="K64" s="86" t="n">
        <v>45</v>
      </c>
      <c r="L64" s="88" t="n">
        <v>0.71</v>
      </c>
      <c r="M64" s="84" t="n">
        <v>18</v>
      </c>
      <c r="N64" s="89" t="n">
        <v>0.1078</v>
      </c>
      <c r="O64" s="90" t="s">
        <v>39</v>
      </c>
      <c r="P64" s="84" t="s">
        <v>28</v>
      </c>
      <c r="Q64" s="85" t="s">
        <v>29</v>
      </c>
      <c r="R64" s="85" t="s">
        <v>260</v>
      </c>
      <c r="S64" s="1" t="s">
        <v>204</v>
      </c>
    </row>
    <row r="65" s="1" customFormat="true" ht="12.75" hidden="false" customHeight="false" outlineLevel="0" collapsed="false">
      <c r="A65" s="82" t="n">
        <v>45931</v>
      </c>
      <c r="B65" s="83" t="s">
        <v>261</v>
      </c>
      <c r="C65" s="84" t="s">
        <v>262</v>
      </c>
      <c r="D65" s="85" t="s">
        <v>263</v>
      </c>
      <c r="E65" s="84" t="s">
        <v>25</v>
      </c>
      <c r="F65" s="84" t="s">
        <v>26</v>
      </c>
      <c r="G65" s="84" t="s">
        <v>27</v>
      </c>
      <c r="H65" s="86" t="n">
        <v>2.8</v>
      </c>
      <c r="I65" s="87" t="n">
        <v>0.22</v>
      </c>
      <c r="J65" s="86" t="n">
        <v>2.8</v>
      </c>
      <c r="K65" s="86" t="n">
        <v>4.375</v>
      </c>
      <c r="L65" s="88" t="n">
        <f aca="false">J65/K65</f>
        <v>0.64</v>
      </c>
      <c r="M65" s="84" t="n">
        <v>18</v>
      </c>
      <c r="N65" s="89" t="n">
        <v>0.1329</v>
      </c>
      <c r="O65" s="90" t="s">
        <v>28</v>
      </c>
      <c r="P65" s="84" t="s">
        <v>28</v>
      </c>
      <c r="Q65" s="85" t="s">
        <v>29</v>
      </c>
      <c r="R65" s="85" t="s">
        <v>264</v>
      </c>
      <c r="S65" s="1" t="s">
        <v>229</v>
      </c>
    </row>
    <row r="66" s="1" customFormat="true" ht="12.75" hidden="false" customHeight="false" outlineLevel="0" collapsed="false">
      <c r="A66" s="82" t="n">
        <v>46023</v>
      </c>
      <c r="B66" s="83" t="s">
        <v>265</v>
      </c>
      <c r="C66" s="84" t="s">
        <v>54</v>
      </c>
      <c r="D66" s="85" t="s">
        <v>266</v>
      </c>
      <c r="E66" s="84"/>
      <c r="F66" s="84" t="s">
        <v>26</v>
      </c>
      <c r="G66" s="84"/>
      <c r="H66" s="86" t="n">
        <v>10</v>
      </c>
      <c r="I66" s="87"/>
      <c r="J66" s="86"/>
      <c r="K66" s="86" t="n">
        <v>14</v>
      </c>
      <c r="L66" s="88" t="n">
        <f aca="false">H66/K66</f>
        <v>0.714285714285714</v>
      </c>
      <c r="M66" s="84"/>
      <c r="N66" s="89"/>
      <c r="O66" s="90" t="s">
        <v>28</v>
      </c>
      <c r="P66" s="84" t="s">
        <v>28</v>
      </c>
      <c r="Q66" s="85" t="s">
        <v>29</v>
      </c>
      <c r="R66" s="85" t="s">
        <v>267</v>
      </c>
      <c r="S66" s="1" t="s">
        <v>268</v>
      </c>
    </row>
    <row r="67" s="1" customFormat="true" ht="12.75" hidden="false" customHeight="false" outlineLevel="0" collapsed="false">
      <c r="A67" s="82" t="n">
        <v>45901</v>
      </c>
      <c r="B67" s="11" t="s">
        <v>269</v>
      </c>
      <c r="C67" s="22" t="s">
        <v>146</v>
      </c>
      <c r="D67" s="58" t="s">
        <v>270</v>
      </c>
      <c r="E67" s="22" t="s">
        <v>142</v>
      </c>
      <c r="F67" s="22" t="s">
        <v>26</v>
      </c>
      <c r="G67" s="22" t="s">
        <v>51</v>
      </c>
      <c r="H67" s="23" t="n">
        <v>6.5</v>
      </c>
      <c r="I67" s="24" t="n">
        <v>0.407</v>
      </c>
      <c r="J67" s="23" t="n">
        <v>6.5</v>
      </c>
      <c r="K67" s="23" t="n">
        <v>8.75</v>
      </c>
      <c r="L67" s="25" t="n">
        <f aca="false">J67/K67</f>
        <v>0.742857142857143</v>
      </c>
      <c r="M67" s="22" t="n">
        <v>12</v>
      </c>
      <c r="N67" s="26" t="n">
        <v>0.1354</v>
      </c>
      <c r="O67" s="27" t="s">
        <v>28</v>
      </c>
      <c r="P67" s="22" t="s">
        <v>28</v>
      </c>
      <c r="Q67" s="11" t="s">
        <v>29</v>
      </c>
      <c r="R67" s="11" t="s">
        <v>271</v>
      </c>
      <c r="S67" s="1" t="s">
        <v>272</v>
      </c>
    </row>
    <row r="68" s="1" customFormat="true" ht="12.75" hidden="false" customHeight="false" outlineLevel="0" collapsed="false">
      <c r="A68" s="82" t="n">
        <v>45931</v>
      </c>
      <c r="B68" s="58" t="s">
        <v>273</v>
      </c>
      <c r="C68" s="22" t="s">
        <v>66</v>
      </c>
      <c r="D68" s="11" t="s">
        <v>274</v>
      </c>
      <c r="E68" s="22" t="s">
        <v>275</v>
      </c>
      <c r="F68" s="22" t="s">
        <v>26</v>
      </c>
      <c r="G68" s="22" t="s">
        <v>27</v>
      </c>
      <c r="H68" s="23" t="n">
        <v>6.2</v>
      </c>
      <c r="I68" s="24" t="n">
        <v>0.852</v>
      </c>
      <c r="J68" s="23" t="n">
        <v>6.2</v>
      </c>
      <c r="K68" s="23" t="n">
        <v>8.75</v>
      </c>
      <c r="L68" s="25" t="n">
        <f aca="false">J68/K68</f>
        <v>0.708571428571429</v>
      </c>
      <c r="M68" s="22" t="n">
        <v>12</v>
      </c>
      <c r="N68" s="26" t="n">
        <v>0.1505</v>
      </c>
      <c r="O68" s="27" t="s">
        <v>28</v>
      </c>
      <c r="P68" s="22" t="s">
        <v>28</v>
      </c>
      <c r="Q68" s="11" t="s">
        <v>29</v>
      </c>
      <c r="R68" s="11" t="s">
        <v>276</v>
      </c>
      <c r="S68" s="1" t="s">
        <v>187</v>
      </c>
    </row>
    <row r="69" s="1" customFormat="true" ht="12.75" hidden="false" customHeight="false" outlineLevel="0" collapsed="false">
      <c r="A69" s="82" t="n">
        <v>45931</v>
      </c>
      <c r="B69" s="83" t="s">
        <v>277</v>
      </c>
      <c r="C69" s="84" t="s">
        <v>54</v>
      </c>
      <c r="D69" s="85"/>
      <c r="E69" s="84" t="s">
        <v>142</v>
      </c>
      <c r="F69" s="84" t="s">
        <v>26</v>
      </c>
      <c r="G69" s="84" t="s">
        <v>27</v>
      </c>
      <c r="H69" s="86" t="n">
        <v>8.4</v>
      </c>
      <c r="I69" s="87" t="n">
        <v>0.424</v>
      </c>
      <c r="J69" s="86" t="n">
        <v>8.4</v>
      </c>
      <c r="K69" s="86" t="n">
        <v>14</v>
      </c>
      <c r="L69" s="88" t="n">
        <f aca="false">J69/K69</f>
        <v>0.6</v>
      </c>
      <c r="M69" s="84" t="n">
        <v>12</v>
      </c>
      <c r="N69" s="89" t="n">
        <v>0.1298</v>
      </c>
      <c r="O69" s="90" t="s">
        <v>28</v>
      </c>
      <c r="P69" s="84" t="s">
        <v>28</v>
      </c>
      <c r="Q69" s="85" t="s">
        <v>29</v>
      </c>
      <c r="R69" s="85" t="s">
        <v>278</v>
      </c>
    </row>
    <row r="70" s="1" customFormat="true" ht="12.75" hidden="false" customHeight="false" outlineLevel="0" collapsed="false">
      <c r="A70" s="82" t="n">
        <v>45931</v>
      </c>
      <c r="B70" s="83" t="s">
        <v>279</v>
      </c>
      <c r="C70" s="84" t="s">
        <v>32</v>
      </c>
      <c r="D70" s="85"/>
      <c r="E70" s="84" t="s">
        <v>142</v>
      </c>
      <c r="F70" s="84" t="s">
        <v>26</v>
      </c>
      <c r="G70" s="84" t="s">
        <v>51</v>
      </c>
      <c r="H70" s="86" t="n">
        <v>11.7</v>
      </c>
      <c r="I70" s="87"/>
      <c r="J70" s="86" t="n">
        <v>11.7</v>
      </c>
      <c r="K70" s="86"/>
      <c r="L70" s="88" t="s">
        <v>280</v>
      </c>
      <c r="M70" s="84"/>
      <c r="N70" s="89"/>
      <c r="O70" s="90" t="s">
        <v>39</v>
      </c>
      <c r="P70" s="84"/>
      <c r="Q70" s="85"/>
      <c r="R70" s="85"/>
    </row>
    <row r="71" s="1" customFormat="true" ht="12.75" hidden="false" customHeight="false" outlineLevel="0" collapsed="false">
      <c r="A71" s="82" t="n">
        <v>45931</v>
      </c>
      <c r="B71" s="83" t="s">
        <v>281</v>
      </c>
      <c r="C71" s="84" t="s">
        <v>146</v>
      </c>
      <c r="D71" s="85" t="s">
        <v>282</v>
      </c>
      <c r="E71" s="84" t="s">
        <v>25</v>
      </c>
      <c r="F71" s="84" t="s">
        <v>26</v>
      </c>
      <c r="G71" s="84" t="s">
        <v>51</v>
      </c>
      <c r="H71" s="86" t="n">
        <v>3.6</v>
      </c>
      <c r="I71" s="87" t="n">
        <v>0.459</v>
      </c>
      <c r="J71" s="86" t="n">
        <v>3.6</v>
      </c>
      <c r="K71" s="86" t="n">
        <v>5</v>
      </c>
      <c r="L71" s="88" t="n">
        <f aca="false">J71/K71</f>
        <v>0.72</v>
      </c>
      <c r="M71" s="84" t="n">
        <v>12</v>
      </c>
      <c r="N71" s="89" t="n">
        <v>0.1349</v>
      </c>
      <c r="O71" s="90" t="s">
        <v>39</v>
      </c>
      <c r="P71" s="84" t="s">
        <v>28</v>
      </c>
      <c r="Q71" s="85" t="s">
        <v>29</v>
      </c>
      <c r="R71" s="85" t="s">
        <v>283</v>
      </c>
      <c r="S71" s="1" t="s">
        <v>204</v>
      </c>
    </row>
    <row r="72" s="1" customFormat="true" ht="12.75" hidden="false" customHeight="false" outlineLevel="0" collapsed="false">
      <c r="A72" s="82" t="n">
        <v>45931</v>
      </c>
      <c r="B72" s="83" t="s">
        <v>284</v>
      </c>
      <c r="C72" s="84" t="s">
        <v>54</v>
      </c>
      <c r="D72" s="85" t="s">
        <v>285</v>
      </c>
      <c r="E72" s="84" t="s">
        <v>142</v>
      </c>
      <c r="F72" s="84" t="s">
        <v>26</v>
      </c>
      <c r="G72" s="84" t="s">
        <v>51</v>
      </c>
      <c r="H72" s="86" t="n">
        <v>15.75</v>
      </c>
      <c r="I72" s="87" t="n">
        <v>1.02</v>
      </c>
      <c r="J72" s="86" t="n">
        <v>15.75</v>
      </c>
      <c r="K72" s="86" t="n">
        <v>36</v>
      </c>
      <c r="L72" s="88" t="n">
        <f aca="false">J72/K72</f>
        <v>0.4375</v>
      </c>
      <c r="M72" s="84" t="n">
        <v>18</v>
      </c>
      <c r="N72" s="89" t="n">
        <v>0.14</v>
      </c>
      <c r="O72" s="90" t="s">
        <v>28</v>
      </c>
      <c r="P72" s="84" t="s">
        <v>28</v>
      </c>
      <c r="Q72" s="85" t="s">
        <v>29</v>
      </c>
      <c r="R72" s="85" t="s">
        <v>286</v>
      </c>
      <c r="S72" s="1" t="s">
        <v>204</v>
      </c>
    </row>
    <row r="73" s="1" customFormat="true" ht="12.75" hidden="false" customHeight="false" outlineLevel="0" collapsed="false">
      <c r="A73" s="82" t="n">
        <v>45931</v>
      </c>
      <c r="B73" s="83" t="s">
        <v>287</v>
      </c>
      <c r="C73" s="84" t="s">
        <v>146</v>
      </c>
      <c r="D73" s="85" t="s">
        <v>288</v>
      </c>
      <c r="E73" s="84" t="s">
        <v>142</v>
      </c>
      <c r="F73" s="84" t="s">
        <v>26</v>
      </c>
      <c r="G73" s="84" t="s">
        <v>51</v>
      </c>
      <c r="H73" s="86" t="n">
        <v>10.2</v>
      </c>
      <c r="I73" s="87"/>
      <c r="J73" s="86" t="n">
        <v>11.25</v>
      </c>
      <c r="K73" s="86"/>
      <c r="L73" s="88"/>
      <c r="M73" s="84"/>
      <c r="N73" s="89"/>
      <c r="O73" s="90" t="s">
        <v>39</v>
      </c>
      <c r="P73" s="84"/>
      <c r="Q73" s="85"/>
      <c r="R73" s="85"/>
    </row>
    <row r="74" s="1" customFormat="true" ht="12.75" hidden="false" customHeight="false" outlineLevel="0" collapsed="false">
      <c r="A74" s="82" t="n">
        <v>46054</v>
      </c>
      <c r="B74" s="83" t="s">
        <v>289</v>
      </c>
      <c r="C74" s="84" t="s">
        <v>23</v>
      </c>
      <c r="D74" s="85" t="s">
        <v>290</v>
      </c>
      <c r="E74" s="84" t="s">
        <v>142</v>
      </c>
      <c r="F74" s="84" t="s">
        <v>26</v>
      </c>
      <c r="G74" s="84" t="s">
        <v>27</v>
      </c>
      <c r="H74" s="86" t="n">
        <f aca="false">K74*L74</f>
        <v>14.3</v>
      </c>
      <c r="I74" s="87"/>
      <c r="J74" s="86"/>
      <c r="K74" s="86" t="n">
        <v>22</v>
      </c>
      <c r="L74" s="88" t="n">
        <v>0.65</v>
      </c>
      <c r="M74" s="84"/>
      <c r="N74" s="89"/>
      <c r="O74" s="90" t="s">
        <v>28</v>
      </c>
      <c r="P74" s="84" t="s">
        <v>28</v>
      </c>
      <c r="Q74" s="85" t="s">
        <v>29</v>
      </c>
      <c r="R74" s="85"/>
    </row>
    <row r="75" s="1" customFormat="true" ht="12.75" hidden="false" customHeight="false" outlineLevel="0" collapsed="false">
      <c r="A75" s="82" t="n">
        <v>46023</v>
      </c>
      <c r="B75" s="83" t="s">
        <v>291</v>
      </c>
      <c r="C75" s="84" t="s">
        <v>258</v>
      </c>
      <c r="D75" s="85" t="s">
        <v>292</v>
      </c>
      <c r="E75" s="84" t="s">
        <v>142</v>
      </c>
      <c r="F75" s="84" t="s">
        <v>26</v>
      </c>
      <c r="G75" s="84" t="s">
        <v>51</v>
      </c>
      <c r="H75" s="86" t="n">
        <v>4.26</v>
      </c>
      <c r="I75" s="87" t="n">
        <v>0.299</v>
      </c>
      <c r="J75" s="86" t="n">
        <v>4.302</v>
      </c>
      <c r="K75" s="86" t="n">
        <v>8.1</v>
      </c>
      <c r="L75" s="88" t="n">
        <f aca="false">H75/K75</f>
        <v>0.525925925925926</v>
      </c>
      <c r="M75" s="84" t="n">
        <v>18</v>
      </c>
      <c r="N75" s="89" t="n">
        <v>0.1187</v>
      </c>
      <c r="O75" s="90" t="s">
        <v>39</v>
      </c>
      <c r="P75" s="84" t="s">
        <v>28</v>
      </c>
      <c r="Q75" s="85" t="s">
        <v>29</v>
      </c>
      <c r="R75" s="85" t="s">
        <v>293</v>
      </c>
    </row>
    <row r="76" s="1" customFormat="true" ht="12.75" hidden="false" customHeight="false" outlineLevel="0" collapsed="false">
      <c r="A76" s="82" t="n">
        <v>46054</v>
      </c>
      <c r="B76" s="57" t="s">
        <v>294</v>
      </c>
      <c r="C76" s="84" t="s">
        <v>66</v>
      </c>
      <c r="D76" s="83" t="s">
        <v>295</v>
      </c>
      <c r="E76" s="84" t="s">
        <v>142</v>
      </c>
      <c r="F76" s="84" t="s">
        <v>26</v>
      </c>
      <c r="G76" s="84" t="s">
        <v>27</v>
      </c>
      <c r="H76" s="86" t="n">
        <v>5.78</v>
      </c>
      <c r="I76" s="87" t="n">
        <v>0.423</v>
      </c>
      <c r="J76" s="86" t="n">
        <v>5.895</v>
      </c>
      <c r="K76" s="86" t="n">
        <v>8.5</v>
      </c>
      <c r="L76" s="88" t="n">
        <f aca="false">H76/K76</f>
        <v>0.68</v>
      </c>
      <c r="M76" s="84" t="n">
        <v>15</v>
      </c>
      <c r="N76" s="89" t="n">
        <v>0.1464</v>
      </c>
      <c r="O76" s="90" t="s">
        <v>39</v>
      </c>
      <c r="P76" s="84" t="s">
        <v>28</v>
      </c>
      <c r="Q76" s="85" t="s">
        <v>29</v>
      </c>
      <c r="R76" s="85" t="s">
        <v>296</v>
      </c>
    </row>
    <row r="77" s="1" customFormat="true" ht="12.75" hidden="false" customHeight="false" outlineLevel="0" collapsed="false">
      <c r="A77" s="82" t="n">
        <v>46054</v>
      </c>
      <c r="B77" s="83" t="s">
        <v>297</v>
      </c>
      <c r="C77" s="84" t="s">
        <v>23</v>
      </c>
      <c r="D77" s="85" t="s">
        <v>298</v>
      </c>
      <c r="E77" s="84" t="s">
        <v>142</v>
      </c>
      <c r="F77" s="84" t="s">
        <v>26</v>
      </c>
      <c r="G77" s="84" t="s">
        <v>51</v>
      </c>
      <c r="H77" s="86" t="n">
        <v>38.5</v>
      </c>
      <c r="I77" s="87"/>
      <c r="J77" s="86" t="n">
        <v>22.12</v>
      </c>
      <c r="K77" s="86" t="n">
        <v>55</v>
      </c>
      <c r="L77" s="88" t="n">
        <f aca="false">H77/K77</f>
        <v>0.7</v>
      </c>
      <c r="M77" s="84"/>
      <c r="N77" s="89"/>
      <c r="O77" s="90" t="s">
        <v>28</v>
      </c>
      <c r="P77" s="84" t="s">
        <v>28</v>
      </c>
      <c r="Q77" s="85" t="s">
        <v>29</v>
      </c>
      <c r="R77" s="85" t="s">
        <v>299</v>
      </c>
    </row>
    <row r="78" s="1" customFormat="true" ht="12.75" hidden="false" customHeight="false" outlineLevel="0" collapsed="false">
      <c r="A78" s="82" t="n">
        <v>46054</v>
      </c>
      <c r="B78" s="91" t="s">
        <v>300</v>
      </c>
      <c r="C78" s="84" t="s">
        <v>23</v>
      </c>
      <c r="D78" s="83" t="s">
        <v>301</v>
      </c>
      <c r="E78" s="84" t="s">
        <v>155</v>
      </c>
      <c r="F78" s="84" t="s">
        <v>26</v>
      </c>
      <c r="G78" s="84" t="s">
        <v>27</v>
      </c>
      <c r="H78" s="86" t="n">
        <v>13.7</v>
      </c>
      <c r="I78" s="87"/>
      <c r="J78" s="86"/>
      <c r="K78" s="86" t="n">
        <v>25</v>
      </c>
      <c r="L78" s="88" t="n">
        <f aca="false">H78/K78</f>
        <v>0.548</v>
      </c>
      <c r="M78" s="84"/>
      <c r="N78" s="89"/>
      <c r="O78" s="90"/>
      <c r="P78" s="84"/>
      <c r="Q78" s="85"/>
      <c r="R78" s="85" t="s">
        <v>302</v>
      </c>
    </row>
    <row r="79" s="1" customFormat="true" ht="12.75" hidden="false" customHeight="false" outlineLevel="0" collapsed="false">
      <c r="A79" s="82" t="n">
        <v>46023</v>
      </c>
      <c r="B79" s="83" t="s">
        <v>303</v>
      </c>
      <c r="C79" s="84" t="s">
        <v>32</v>
      </c>
      <c r="D79" s="85" t="s">
        <v>304</v>
      </c>
      <c r="E79" s="84" t="s">
        <v>142</v>
      </c>
      <c r="F79" s="84" t="s">
        <v>26</v>
      </c>
      <c r="G79" s="84" t="s">
        <v>51</v>
      </c>
      <c r="H79" s="86" t="n">
        <v>35.5</v>
      </c>
      <c r="I79" s="87" t="n">
        <v>1.42</v>
      </c>
      <c r="J79" s="86" t="n">
        <v>35.9</v>
      </c>
      <c r="K79" s="86" t="n">
        <v>50</v>
      </c>
      <c r="L79" s="88" t="n">
        <v>0.71</v>
      </c>
      <c r="M79" s="84" t="n">
        <v>24</v>
      </c>
      <c r="N79" s="89" t="n">
        <v>0.1076</v>
      </c>
      <c r="O79" s="90" t="s">
        <v>39</v>
      </c>
      <c r="P79" s="84" t="s">
        <v>28</v>
      </c>
      <c r="Q79" s="85" t="s">
        <v>29</v>
      </c>
      <c r="R79" s="85" t="s">
        <v>129</v>
      </c>
    </row>
    <row r="80" s="1" customFormat="true" ht="12.75" hidden="false" customHeight="false" outlineLevel="0" collapsed="false">
      <c r="A80" s="82" t="n">
        <v>46023</v>
      </c>
      <c r="B80" s="83" t="s">
        <v>305</v>
      </c>
      <c r="C80" s="84" t="s">
        <v>66</v>
      </c>
      <c r="D80" s="85" t="s">
        <v>306</v>
      </c>
      <c r="E80" s="84" t="s">
        <v>25</v>
      </c>
      <c r="F80" s="84" t="s">
        <v>26</v>
      </c>
      <c r="G80" s="84" t="s">
        <v>51</v>
      </c>
      <c r="H80" s="86" t="n">
        <v>1.575</v>
      </c>
      <c r="I80" s="87" t="n">
        <v>0.204</v>
      </c>
      <c r="J80" s="86" t="n">
        <v>1.59</v>
      </c>
      <c r="K80" s="86" t="n">
        <v>2.25</v>
      </c>
      <c r="L80" s="88" t="n">
        <v>0.7</v>
      </c>
      <c r="M80" s="84" t="n">
        <v>12</v>
      </c>
      <c r="N80" s="89" t="n">
        <v>0.1386</v>
      </c>
      <c r="O80" s="90" t="s">
        <v>39</v>
      </c>
      <c r="P80" s="84" t="s">
        <v>28</v>
      </c>
      <c r="Q80" s="85" t="s">
        <v>75</v>
      </c>
      <c r="R80" s="85" t="s">
        <v>307</v>
      </c>
    </row>
    <row r="81" s="1" customFormat="true" ht="12.75" hidden="false" customHeight="false" outlineLevel="0" collapsed="false">
      <c r="A81" s="82" t="n">
        <v>46023</v>
      </c>
      <c r="B81" s="83" t="s">
        <v>308</v>
      </c>
      <c r="C81" s="84" t="s">
        <v>146</v>
      </c>
      <c r="D81" s="85" t="s">
        <v>309</v>
      </c>
      <c r="E81" s="84" t="s">
        <v>142</v>
      </c>
      <c r="F81" s="84" t="s">
        <v>26</v>
      </c>
      <c r="G81" s="84" t="s">
        <v>51</v>
      </c>
      <c r="H81" s="86" t="n">
        <v>31.95</v>
      </c>
      <c r="I81" s="87" t="n">
        <v>0.834</v>
      </c>
      <c r="J81" s="86" t="n">
        <v>32.35</v>
      </c>
      <c r="K81" s="86" t="n">
        <v>45</v>
      </c>
      <c r="L81" s="88" t="n">
        <v>0.71</v>
      </c>
      <c r="M81" s="84" t="n">
        <v>18</v>
      </c>
      <c r="N81" s="89" t="n">
        <v>0.1078</v>
      </c>
      <c r="O81" s="90" t="s">
        <v>39</v>
      </c>
      <c r="P81" s="84" t="s">
        <v>28</v>
      </c>
      <c r="Q81" s="85" t="s">
        <v>75</v>
      </c>
      <c r="R81" s="85" t="s">
        <v>307</v>
      </c>
    </row>
    <row r="82" s="1" customFormat="true" ht="12.75" hidden="false" customHeight="false" outlineLevel="0" collapsed="false">
      <c r="A82" s="82" t="n">
        <v>46054</v>
      </c>
      <c r="B82" s="91" t="s">
        <v>310</v>
      </c>
      <c r="C82" s="84" t="s">
        <v>146</v>
      </c>
      <c r="D82" s="83" t="s">
        <v>311</v>
      </c>
      <c r="E82" s="84" t="s">
        <v>25</v>
      </c>
      <c r="F82" s="84" t="s">
        <v>26</v>
      </c>
      <c r="G82" s="84" t="s">
        <v>27</v>
      </c>
      <c r="H82" s="86" t="n">
        <v>15</v>
      </c>
      <c r="I82" s="87" t="n">
        <v>1.9</v>
      </c>
      <c r="J82" s="86" t="n">
        <v>15.15</v>
      </c>
      <c r="K82" s="86" t="n">
        <v>22.5</v>
      </c>
      <c r="L82" s="88" t="n">
        <f aca="false">H82/K82</f>
        <v>0.666666666666667</v>
      </c>
      <c r="M82" s="84" t="n">
        <v>12</v>
      </c>
      <c r="N82" s="89" t="n">
        <v>0.14</v>
      </c>
      <c r="O82" s="90" t="s">
        <v>28</v>
      </c>
      <c r="P82" s="84" t="s">
        <v>28</v>
      </c>
      <c r="Q82" s="85" t="s">
        <v>29</v>
      </c>
      <c r="R82" s="85" t="s">
        <v>256</v>
      </c>
    </row>
    <row r="83" s="1" customFormat="true" ht="12.75" hidden="false" customHeight="false" outlineLevel="0" collapsed="false">
      <c r="A83" s="82" t="n">
        <v>46082</v>
      </c>
      <c r="B83" s="91" t="s">
        <v>312</v>
      </c>
      <c r="C83" s="84" t="s">
        <v>23</v>
      </c>
      <c r="D83" s="83" t="s">
        <v>313</v>
      </c>
      <c r="E83" s="84" t="s">
        <v>142</v>
      </c>
      <c r="F83" s="84" t="s">
        <v>26</v>
      </c>
      <c r="G83" s="84" t="s">
        <v>27</v>
      </c>
      <c r="H83" s="86" t="n">
        <v>52.5</v>
      </c>
      <c r="I83" s="87"/>
      <c r="J83" s="86" t="n">
        <v>52.5</v>
      </c>
      <c r="K83" s="86" t="n">
        <v>70</v>
      </c>
      <c r="L83" s="88" t="n">
        <f aca="false">H83/K83</f>
        <v>0.75</v>
      </c>
      <c r="M83" s="84" t="n">
        <v>12</v>
      </c>
      <c r="N83" s="89"/>
      <c r="O83" s="90" t="s">
        <v>28</v>
      </c>
      <c r="P83" s="84" t="s">
        <v>28</v>
      </c>
      <c r="Q83" s="85"/>
      <c r="R83" s="85" t="s">
        <v>314</v>
      </c>
    </row>
    <row r="84" s="1" customFormat="true" ht="12.75" hidden="false" customHeight="false" outlineLevel="0" collapsed="false">
      <c r="A84" s="82" t="n">
        <v>46113</v>
      </c>
      <c r="B84" s="91" t="s">
        <v>315</v>
      </c>
      <c r="C84" s="84" t="s">
        <v>146</v>
      </c>
      <c r="D84" s="83" t="s">
        <v>316</v>
      </c>
      <c r="E84" s="84" t="s">
        <v>25</v>
      </c>
      <c r="F84" s="84" t="s">
        <v>26</v>
      </c>
      <c r="G84" s="84" t="s">
        <v>27</v>
      </c>
      <c r="H84" s="86" t="n">
        <v>8.14</v>
      </c>
      <c r="I84" s="87"/>
      <c r="J84" s="86" t="n">
        <v>9.1</v>
      </c>
      <c r="K84" s="86" t="n">
        <v>13</v>
      </c>
      <c r="L84" s="88" t="n">
        <v>0.7</v>
      </c>
      <c r="M84" s="84" t="n">
        <v>12</v>
      </c>
      <c r="N84" s="89"/>
      <c r="O84" s="90" t="s">
        <v>39</v>
      </c>
      <c r="P84" s="84" t="s">
        <v>28</v>
      </c>
      <c r="Q84" s="85" t="s">
        <v>29</v>
      </c>
      <c r="R84" s="85" t="s">
        <v>317</v>
      </c>
      <c r="S84" s="92"/>
    </row>
    <row r="85" s="1" customFormat="true" ht="12.75" hidden="false" customHeight="false" outlineLevel="0" collapsed="false">
      <c r="A85" s="82" t="n">
        <v>46113</v>
      </c>
      <c r="B85" s="91" t="s">
        <v>318</v>
      </c>
      <c r="C85" s="84" t="s">
        <v>23</v>
      </c>
      <c r="D85" s="83" t="s">
        <v>319</v>
      </c>
      <c r="E85" s="84" t="s">
        <v>25</v>
      </c>
      <c r="F85" s="84" t="s">
        <v>26</v>
      </c>
      <c r="G85" s="84"/>
      <c r="H85" s="86" t="n">
        <v>0.5</v>
      </c>
      <c r="I85" s="87" t="n">
        <v>0.04</v>
      </c>
      <c r="J85" s="86" t="n">
        <v>0.51</v>
      </c>
      <c r="K85" s="86" t="n">
        <v>2</v>
      </c>
      <c r="L85" s="88" t="n">
        <v>0.25</v>
      </c>
      <c r="M85" s="84" t="n">
        <v>6</v>
      </c>
      <c r="N85" s="89" t="n">
        <v>0.19</v>
      </c>
      <c r="O85" s="90" t="s">
        <v>28</v>
      </c>
      <c r="P85" s="84" t="s">
        <v>28</v>
      </c>
      <c r="Q85" s="85" t="s">
        <v>75</v>
      </c>
      <c r="R85" s="85" t="s">
        <v>320</v>
      </c>
      <c r="S85" s="92"/>
    </row>
    <row r="86" s="1" customFormat="true" ht="12.75" hidden="false" customHeight="false" outlineLevel="0" collapsed="false">
      <c r="A86" s="82" t="n">
        <v>46143</v>
      </c>
      <c r="B86" s="91" t="s">
        <v>321</v>
      </c>
      <c r="C86" s="84" t="s">
        <v>146</v>
      </c>
      <c r="D86" s="83" t="s">
        <v>322</v>
      </c>
      <c r="E86" s="84" t="s">
        <v>25</v>
      </c>
      <c r="F86" s="84" t="s">
        <v>26</v>
      </c>
      <c r="G86" s="84" t="s">
        <v>27</v>
      </c>
      <c r="H86" s="86" t="n">
        <v>3.5</v>
      </c>
      <c r="I86" s="87"/>
      <c r="J86" s="86" t="n">
        <v>3.5</v>
      </c>
      <c r="K86" s="86" t="n">
        <v>6.2</v>
      </c>
      <c r="L86" s="88" t="n">
        <v>0.56</v>
      </c>
      <c r="M86" s="84" t="n">
        <v>12</v>
      </c>
      <c r="N86" s="89"/>
      <c r="O86" s="90" t="s">
        <v>28</v>
      </c>
      <c r="P86" s="84" t="s">
        <v>28</v>
      </c>
      <c r="Q86" s="85" t="s">
        <v>29</v>
      </c>
      <c r="R86" s="85" t="s">
        <v>323</v>
      </c>
      <c r="S86" s="92" t="s">
        <v>324</v>
      </c>
    </row>
    <row r="87" s="1" customFormat="true" ht="12.75" hidden="false" customHeight="false" outlineLevel="0" collapsed="false">
      <c r="A87" s="82" t="n">
        <v>46143</v>
      </c>
      <c r="B87" s="91" t="s">
        <v>37</v>
      </c>
      <c r="C87" s="84" t="s">
        <v>32</v>
      </c>
      <c r="D87" s="83"/>
      <c r="E87" s="84" t="s">
        <v>25</v>
      </c>
      <c r="F87" s="84" t="s">
        <v>26</v>
      </c>
      <c r="G87" s="84" t="s">
        <v>51</v>
      </c>
      <c r="H87" s="86" t="n">
        <v>9.01</v>
      </c>
      <c r="I87" s="87"/>
      <c r="J87" s="86" t="n">
        <v>9.1</v>
      </c>
      <c r="K87" s="86" t="n">
        <v>14</v>
      </c>
      <c r="L87" s="88" t="n">
        <v>0.65</v>
      </c>
      <c r="M87" s="84" t="n">
        <v>18</v>
      </c>
      <c r="N87" s="89"/>
      <c r="O87" s="90" t="s">
        <v>39</v>
      </c>
      <c r="P87" s="84" t="s">
        <v>28</v>
      </c>
      <c r="Q87" s="85" t="s">
        <v>29</v>
      </c>
      <c r="R87" s="85" t="s">
        <v>323</v>
      </c>
      <c r="S87" s="92" t="s">
        <v>325</v>
      </c>
    </row>
    <row r="88" s="1" customFormat="true" ht="12.75" hidden="false" customHeight="false" outlineLevel="0" collapsed="false">
      <c r="A88" s="82" t="n">
        <v>46023</v>
      </c>
      <c r="B88" s="83" t="s">
        <v>326</v>
      </c>
      <c r="C88" s="84" t="s">
        <v>23</v>
      </c>
      <c r="D88" s="85" t="s">
        <v>327</v>
      </c>
      <c r="E88" s="84" t="s">
        <v>25</v>
      </c>
      <c r="F88" s="84" t="s">
        <v>26</v>
      </c>
      <c r="G88" s="84" t="s">
        <v>51</v>
      </c>
      <c r="H88" s="86" t="n">
        <v>34</v>
      </c>
      <c r="I88" s="87" t="n">
        <v>4</v>
      </c>
      <c r="J88" s="86" t="n">
        <v>34</v>
      </c>
      <c r="K88" s="86" t="n">
        <v>54</v>
      </c>
      <c r="L88" s="88" t="n">
        <f aca="false">H88/K88</f>
        <v>0.62962962962963</v>
      </c>
      <c r="M88" s="84" t="n">
        <v>12</v>
      </c>
      <c r="N88" s="89" t="n">
        <v>0.13</v>
      </c>
      <c r="O88" s="90" t="s">
        <v>28</v>
      </c>
      <c r="P88" s="84" t="s">
        <v>28</v>
      </c>
      <c r="Q88" s="85" t="s">
        <v>29</v>
      </c>
      <c r="R88" s="85" t="s">
        <v>328</v>
      </c>
    </row>
    <row r="89" s="1" customFormat="true" ht="38.25" hidden="false" customHeight="true" outlineLevel="0" collapsed="false">
      <c r="A89" s="93" t="n">
        <v>46113</v>
      </c>
      <c r="B89" s="91" t="s">
        <v>329</v>
      </c>
      <c r="C89" s="84" t="s">
        <v>23</v>
      </c>
      <c r="D89" s="83"/>
      <c r="E89" s="84" t="s">
        <v>25</v>
      </c>
      <c r="F89" s="84" t="s">
        <v>26</v>
      </c>
      <c r="G89" s="84" t="s">
        <v>27</v>
      </c>
      <c r="H89" s="86" t="n">
        <v>12.84</v>
      </c>
      <c r="I89" s="87"/>
      <c r="J89" s="86" t="n">
        <v>15</v>
      </c>
      <c r="K89" s="86" t="n">
        <v>30</v>
      </c>
      <c r="L89" s="88" t="n">
        <v>0.5</v>
      </c>
      <c r="M89" s="84" t="n">
        <v>18</v>
      </c>
      <c r="N89" s="89"/>
      <c r="O89" s="84" t="s">
        <v>39</v>
      </c>
      <c r="P89" s="84" t="s">
        <v>28</v>
      </c>
      <c r="Q89" s="85" t="s">
        <v>75</v>
      </c>
      <c r="R89" s="94" t="s">
        <v>330</v>
      </c>
      <c r="S89" s="59"/>
      <c r="T89" s="10"/>
      <c r="U89" s="10"/>
      <c r="V89" s="10"/>
    </row>
    <row r="90" s="1" customFormat="true" ht="12.75" hidden="false" customHeight="false" outlineLevel="0" collapsed="false">
      <c r="A90" s="82" t="n">
        <v>46113</v>
      </c>
      <c r="B90" s="91" t="s">
        <v>331</v>
      </c>
      <c r="C90" s="84" t="s">
        <v>54</v>
      </c>
      <c r="D90" s="83" t="s">
        <v>332</v>
      </c>
      <c r="E90" s="84" t="s">
        <v>25</v>
      </c>
      <c r="F90" s="84" t="s">
        <v>26</v>
      </c>
      <c r="G90" s="84" t="s">
        <v>27</v>
      </c>
      <c r="H90" s="86" t="n">
        <v>19.48</v>
      </c>
      <c r="I90" s="87"/>
      <c r="J90" s="86" t="n">
        <v>21.9</v>
      </c>
      <c r="K90" s="86" t="n">
        <v>29.2</v>
      </c>
      <c r="L90" s="88" t="n">
        <v>0.75</v>
      </c>
      <c r="M90" s="84" t="n">
        <v>18</v>
      </c>
      <c r="N90" s="89"/>
      <c r="O90" s="90" t="s">
        <v>28</v>
      </c>
      <c r="P90" s="84" t="s">
        <v>28</v>
      </c>
      <c r="Q90" s="85" t="s">
        <v>29</v>
      </c>
      <c r="R90" s="85"/>
      <c r="S90" s="59"/>
      <c r="T90" s="10"/>
      <c r="U90" s="10"/>
      <c r="V90" s="10"/>
    </row>
    <row r="91" s="1" customFormat="true" ht="12.75" hidden="false" customHeight="false" outlineLevel="0" collapsed="false">
      <c r="A91" s="82" t="n">
        <v>46113</v>
      </c>
      <c r="B91" s="91" t="s">
        <v>333</v>
      </c>
      <c r="C91" s="84" t="s">
        <v>32</v>
      </c>
      <c r="D91" s="83" t="s">
        <v>334</v>
      </c>
      <c r="E91" s="84" t="s">
        <v>142</v>
      </c>
      <c r="F91" s="84" t="s">
        <v>26</v>
      </c>
      <c r="G91" s="84" t="s">
        <v>51</v>
      </c>
      <c r="H91" s="86" t="n">
        <v>7.38</v>
      </c>
      <c r="I91" s="87" t="n">
        <v>2.6</v>
      </c>
      <c r="J91" s="86" t="n">
        <v>10</v>
      </c>
      <c r="K91" s="86" t="n">
        <v>32.6</v>
      </c>
      <c r="L91" s="88" t="n">
        <v>0.31</v>
      </c>
      <c r="M91" s="84" t="n">
        <v>26</v>
      </c>
      <c r="N91" s="89" t="n">
        <v>0.371</v>
      </c>
      <c r="O91" s="90" t="s">
        <v>28</v>
      </c>
      <c r="P91" s="84" t="s">
        <v>28</v>
      </c>
      <c r="Q91" s="85" t="s">
        <v>29</v>
      </c>
      <c r="R91" s="85"/>
      <c r="S91" s="59"/>
      <c r="T91" s="10"/>
      <c r="U91" s="10"/>
      <c r="V91" s="10"/>
    </row>
    <row r="92" s="1" customFormat="true" ht="12.75" hidden="false" customHeight="false" outlineLevel="0" collapsed="false">
      <c r="A92" s="82" t="n">
        <v>46204</v>
      </c>
      <c r="B92" s="91" t="s">
        <v>335</v>
      </c>
      <c r="C92" s="84" t="s">
        <v>336</v>
      </c>
      <c r="D92" s="83" t="s">
        <v>337</v>
      </c>
      <c r="E92" s="84" t="s">
        <v>25</v>
      </c>
      <c r="F92" s="84" t="s">
        <v>26</v>
      </c>
      <c r="G92" s="84" t="s">
        <v>51</v>
      </c>
      <c r="H92" s="86"/>
      <c r="I92" s="87"/>
      <c r="J92" s="86"/>
      <c r="K92" s="86"/>
      <c r="L92" s="88"/>
      <c r="M92" s="84"/>
      <c r="N92" s="89"/>
      <c r="O92" s="90" t="s">
        <v>28</v>
      </c>
      <c r="P92" s="84" t="s">
        <v>28</v>
      </c>
      <c r="Q92" s="85" t="s">
        <v>75</v>
      </c>
      <c r="R92" s="85" t="s">
        <v>338</v>
      </c>
      <c r="S92" s="59"/>
    </row>
    <row r="93" s="1" customFormat="true" ht="12.75" hidden="false" customHeight="false" outlineLevel="0" collapsed="false">
      <c r="A93" s="82"/>
      <c r="B93" s="91"/>
      <c r="C93" s="84"/>
      <c r="D93" s="83"/>
      <c r="E93" s="84"/>
      <c r="F93" s="84"/>
      <c r="G93" s="84"/>
      <c r="H93" s="86"/>
      <c r="I93" s="87"/>
      <c r="J93" s="86"/>
      <c r="K93" s="86"/>
      <c r="L93" s="88"/>
      <c r="M93" s="84"/>
      <c r="N93" s="89"/>
      <c r="O93" s="90"/>
      <c r="P93" s="84"/>
      <c r="Q93" s="85"/>
      <c r="R93" s="85"/>
      <c r="S93" s="59"/>
    </row>
    <row r="94" s="1" customFormat="true" ht="12.75" hidden="false" customHeight="false" outlineLevel="0" collapsed="false">
      <c r="A94" s="82"/>
      <c r="B94" s="91"/>
      <c r="C94" s="84"/>
      <c r="D94" s="83"/>
      <c r="E94" s="84"/>
      <c r="F94" s="84"/>
      <c r="G94" s="84"/>
      <c r="H94" s="86"/>
      <c r="I94" s="87"/>
      <c r="J94" s="86"/>
      <c r="K94" s="86"/>
      <c r="L94" s="88"/>
      <c r="M94" s="84"/>
      <c r="N94" s="89"/>
      <c r="O94" s="90"/>
      <c r="P94" s="84"/>
      <c r="Q94" s="85"/>
      <c r="R94" s="85"/>
      <c r="S94" s="59"/>
    </row>
    <row r="95" s="1" customFormat="true" ht="12.75" hidden="false" customHeight="true" outlineLevel="0" collapsed="false">
      <c r="A95" s="11"/>
      <c r="B95" s="11"/>
      <c r="C95" s="58"/>
      <c r="D95" s="11"/>
      <c r="E95" s="22"/>
      <c r="F95" s="22"/>
      <c r="G95" s="22"/>
      <c r="H95" s="23"/>
      <c r="I95" s="24"/>
      <c r="J95" s="23"/>
      <c r="K95" s="23"/>
      <c r="L95" s="25"/>
      <c r="M95" s="22"/>
      <c r="N95" s="26"/>
      <c r="O95" s="27"/>
      <c r="P95" s="22"/>
      <c r="Q95" s="11"/>
      <c r="R95" s="11"/>
    </row>
    <row r="96" s="1" customFormat="true" ht="12.75" hidden="false" customHeight="false" outlineLevel="0" collapsed="false">
      <c r="A96" s="28" t="s">
        <v>20</v>
      </c>
      <c r="B96" s="28"/>
      <c r="C96" s="60"/>
      <c r="D96" s="61"/>
      <c r="E96" s="60"/>
      <c r="F96" s="60"/>
      <c r="G96" s="60"/>
      <c r="H96" s="31" t="n">
        <f aca="false">SUM(H5:H19)</f>
        <v>157.6</v>
      </c>
      <c r="I96" s="31" t="n">
        <f aca="false">SUM(I5:I19)</f>
        <v>26.285</v>
      </c>
      <c r="J96" s="31" t="n">
        <f aca="false">SUM(J5:J19)</f>
        <v>170.01</v>
      </c>
      <c r="K96" s="31" t="n">
        <f aca="false">SUM(K5:K19)</f>
        <v>280.5</v>
      </c>
      <c r="L96" s="32" t="n">
        <f aca="false">J96/K96</f>
        <v>0.606096256684492</v>
      </c>
      <c r="M96" s="60"/>
      <c r="N96" s="62"/>
      <c r="O96" s="60"/>
      <c r="P96" s="60"/>
      <c r="Q96" s="61"/>
      <c r="R96" s="61"/>
    </row>
  </sheetData>
  <mergeCells count="1">
    <mergeCell ref="B3:C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8" activeCellId="0" sqref="H8"/>
    </sheetView>
  </sheetViews>
  <sheetFormatPr defaultColWidth="8.71484375" defaultRowHeight="12.75" zeroHeight="false" outlineLevelRow="0" outlineLevelCol="0"/>
  <cols>
    <col collapsed="false" customWidth="true" hidden="false" outlineLevel="0" max="1" min="1" style="68" width="39.28"/>
    <col collapsed="false" customWidth="true" hidden="false" outlineLevel="0" max="20" min="2" style="68" width="12.72"/>
    <col collapsed="false" customWidth="false" hidden="false" outlineLevel="0" max="16384" min="21" style="68" width="8.71"/>
  </cols>
  <sheetData>
    <row r="3" s="1" customFormat="true" ht="28.5" hidden="false" customHeight="true" outlineLevel="0" collapsed="false">
      <c r="A3" s="69" t="s">
        <v>339</v>
      </c>
      <c r="B3" s="69"/>
      <c r="C3" s="49"/>
      <c r="D3" s="46"/>
      <c r="E3" s="49"/>
      <c r="F3" s="70"/>
      <c r="G3" s="70"/>
      <c r="H3" s="71"/>
      <c r="I3" s="72"/>
      <c r="J3" s="71"/>
      <c r="K3" s="71"/>
      <c r="L3" s="73"/>
      <c r="M3" s="70"/>
      <c r="N3" s="74"/>
      <c r="O3" s="95"/>
      <c r="P3" s="74"/>
      <c r="Q3" s="49"/>
      <c r="R3" s="49"/>
      <c r="S3" s="46"/>
      <c r="T3" s="46"/>
      <c r="U3" s="10"/>
      <c r="V3" s="10"/>
      <c r="W3" s="10"/>
    </row>
    <row r="4" s="1" customFormat="true" ht="38.25" hidden="false" customHeight="true" outlineLevel="0" collapsed="false">
      <c r="A4" s="13" t="s">
        <v>3</v>
      </c>
      <c r="B4" s="14" t="s">
        <v>4</v>
      </c>
      <c r="C4" s="16" t="s">
        <v>340</v>
      </c>
      <c r="D4" s="15" t="s">
        <v>83</v>
      </c>
      <c r="E4" s="16" t="s">
        <v>6</v>
      </c>
      <c r="F4" s="16" t="s">
        <v>7</v>
      </c>
      <c r="G4" s="16"/>
      <c r="H4" s="17" t="s">
        <v>84</v>
      </c>
      <c r="I4" s="18" t="s">
        <v>85</v>
      </c>
      <c r="J4" s="17" t="s">
        <v>86</v>
      </c>
      <c r="K4" s="17" t="s">
        <v>87</v>
      </c>
      <c r="L4" s="19" t="s">
        <v>13</v>
      </c>
      <c r="M4" s="16" t="s">
        <v>14</v>
      </c>
      <c r="N4" s="20" t="s">
        <v>15</v>
      </c>
      <c r="O4" s="20" t="s">
        <v>341</v>
      </c>
      <c r="P4" s="20" t="s">
        <v>342</v>
      </c>
      <c r="Q4" s="16" t="s">
        <v>16</v>
      </c>
      <c r="R4" s="16" t="s">
        <v>17</v>
      </c>
      <c r="S4" s="15" t="s">
        <v>18</v>
      </c>
      <c r="T4" s="15" t="s">
        <v>19</v>
      </c>
    </row>
    <row r="5" s="1" customFormat="true" ht="12.75" hidden="false" customHeight="true" outlineLevel="0" collapsed="false">
      <c r="A5" s="11" t="s">
        <v>343</v>
      </c>
      <c r="B5" s="30" t="s">
        <v>32</v>
      </c>
      <c r="C5" s="22" t="n">
        <v>1</v>
      </c>
      <c r="D5" s="11" t="s">
        <v>344</v>
      </c>
      <c r="E5" s="22" t="s">
        <v>25</v>
      </c>
      <c r="F5" s="22" t="s">
        <v>26</v>
      </c>
      <c r="G5" s="22" t="s">
        <v>27</v>
      </c>
      <c r="H5" s="23" t="n">
        <v>4.214</v>
      </c>
      <c r="I5" s="24" t="n">
        <v>0.967</v>
      </c>
      <c r="J5" s="23" t="n">
        <v>4.43</v>
      </c>
      <c r="K5" s="23" t="n">
        <v>40.2</v>
      </c>
      <c r="L5" s="25" t="n">
        <v>0.54</v>
      </c>
      <c r="M5" s="22" t="n">
        <v>18</v>
      </c>
      <c r="N5" s="26" t="n">
        <v>0.16</v>
      </c>
      <c r="O5" s="22" t="s">
        <v>345</v>
      </c>
      <c r="P5" s="22" t="s">
        <v>346</v>
      </c>
      <c r="Q5" s="27" t="s">
        <v>113</v>
      </c>
      <c r="R5" s="22" t="s">
        <v>147</v>
      </c>
      <c r="S5" s="11" t="s">
        <v>29</v>
      </c>
      <c r="T5" s="11" t="s">
        <v>347</v>
      </c>
      <c r="U5" s="96" t="s">
        <v>348</v>
      </c>
      <c r="V5" s="10"/>
      <c r="W5" s="10"/>
      <c r="X5" s="10"/>
    </row>
    <row r="6" s="1" customFormat="true" ht="12.75" hidden="false" customHeight="true" outlineLevel="0" collapsed="false">
      <c r="A6" s="11" t="s">
        <v>349</v>
      </c>
      <c r="B6" s="58" t="s">
        <v>32</v>
      </c>
      <c r="C6" s="22" t="n">
        <v>1</v>
      </c>
      <c r="D6" s="11" t="s">
        <v>309</v>
      </c>
      <c r="E6" s="22" t="s">
        <v>25</v>
      </c>
      <c r="F6" s="22" t="s">
        <v>26</v>
      </c>
      <c r="G6" s="22" t="s">
        <v>27</v>
      </c>
      <c r="H6" s="23" t="n">
        <v>4</v>
      </c>
      <c r="I6" s="24" t="n">
        <v>0.85</v>
      </c>
      <c r="J6" s="23" t="n">
        <v>4</v>
      </c>
      <c r="K6" s="23" t="n">
        <v>6.7</v>
      </c>
      <c r="L6" s="25" t="n">
        <f aca="false">J6/K6</f>
        <v>0.597014925373134</v>
      </c>
      <c r="M6" s="22" t="n">
        <v>24</v>
      </c>
      <c r="N6" s="26" t="n">
        <v>0.133</v>
      </c>
      <c r="O6" s="26" t="s">
        <v>350</v>
      </c>
      <c r="P6" s="26" t="s">
        <v>351</v>
      </c>
      <c r="Q6" s="27" t="s">
        <v>113</v>
      </c>
      <c r="R6" s="22" t="s">
        <v>113</v>
      </c>
      <c r="S6" s="11" t="s">
        <v>29</v>
      </c>
      <c r="T6" s="11" t="s">
        <v>347</v>
      </c>
      <c r="U6" s="97" t="s">
        <v>352</v>
      </c>
      <c r="V6" s="10"/>
      <c r="W6" s="10"/>
      <c r="X6" s="10"/>
    </row>
    <row r="7" s="1" customFormat="true" ht="12.75" hidden="false" customHeight="false" outlineLevel="0" collapsed="false">
      <c r="A7" s="56" t="n">
        <v>45778</v>
      </c>
      <c r="B7" s="11" t="s">
        <v>353</v>
      </c>
      <c r="C7" s="22" t="s">
        <v>354</v>
      </c>
      <c r="D7" s="11" t="s">
        <v>355</v>
      </c>
      <c r="E7" s="22" t="s">
        <v>25</v>
      </c>
      <c r="F7" s="22" t="s">
        <v>26</v>
      </c>
      <c r="G7" s="22" t="s">
        <v>27</v>
      </c>
      <c r="H7" s="23" t="n">
        <v>8.2</v>
      </c>
      <c r="I7" s="24" t="n">
        <v>1.69</v>
      </c>
      <c r="J7" s="23" t="n">
        <v>8.2</v>
      </c>
      <c r="K7" s="23" t="n">
        <v>14</v>
      </c>
      <c r="L7" s="25" t="n">
        <f aca="false">J7/K7</f>
        <v>0.585714285714286</v>
      </c>
      <c r="M7" s="22" t="n">
        <v>18</v>
      </c>
      <c r="N7" s="26" t="n">
        <v>0.1458</v>
      </c>
      <c r="O7" s="27" t="s">
        <v>356</v>
      </c>
      <c r="P7" s="22" t="s">
        <v>90</v>
      </c>
      <c r="Q7" s="27" t="s">
        <v>113</v>
      </c>
      <c r="R7" s="11" t="s">
        <v>113</v>
      </c>
      <c r="S7" s="1" t="s">
        <v>29</v>
      </c>
      <c r="T7" s="11" t="s">
        <v>347</v>
      </c>
      <c r="U7" s="1" t="s">
        <v>204</v>
      </c>
    </row>
    <row r="8" s="1" customFormat="true" ht="12.75" hidden="false" customHeight="false" outlineLevel="0" collapsed="false">
      <c r="A8" s="56" t="n">
        <v>45809</v>
      </c>
      <c r="B8" s="11" t="s">
        <v>357</v>
      </c>
      <c r="C8" s="22" t="s">
        <v>358</v>
      </c>
      <c r="D8" s="11" t="s">
        <v>359</v>
      </c>
      <c r="E8" s="22" t="s">
        <v>25</v>
      </c>
      <c r="F8" s="22" t="s">
        <v>26</v>
      </c>
      <c r="G8" s="22" t="s">
        <v>27</v>
      </c>
      <c r="H8" s="23" t="n">
        <v>17.55</v>
      </c>
      <c r="I8" s="24" t="n">
        <v>0.518</v>
      </c>
      <c r="J8" s="23" t="n">
        <v>17.55</v>
      </c>
      <c r="K8" s="23" t="n">
        <v>24.035</v>
      </c>
      <c r="L8" s="25" t="n">
        <f aca="false">J8/K8</f>
        <v>0.730185146661119</v>
      </c>
      <c r="M8" s="22" t="n">
        <v>15</v>
      </c>
      <c r="N8" s="26" t="n">
        <v>0.2511</v>
      </c>
      <c r="O8" s="27" t="s">
        <v>360</v>
      </c>
      <c r="P8" s="22" t="s">
        <v>28</v>
      </c>
      <c r="Q8" s="27" t="s">
        <v>113</v>
      </c>
      <c r="R8" s="11" t="s">
        <v>113</v>
      </c>
      <c r="S8" s="1" t="s">
        <v>75</v>
      </c>
      <c r="T8" s="11" t="s">
        <v>347</v>
      </c>
      <c r="U8" s="1" t="s">
        <v>361</v>
      </c>
    </row>
    <row r="9" s="1" customFormat="true" ht="12.75" hidden="false" customHeight="true" outlineLevel="0" collapsed="false">
      <c r="A9" s="11"/>
      <c r="B9" s="58"/>
      <c r="C9" s="22"/>
      <c r="D9" s="11"/>
      <c r="E9" s="22"/>
      <c r="F9" s="22"/>
      <c r="G9" s="22"/>
      <c r="H9" s="23"/>
      <c r="I9" s="24"/>
      <c r="J9" s="23"/>
      <c r="K9" s="23"/>
      <c r="L9" s="25"/>
      <c r="M9" s="22"/>
      <c r="N9" s="26"/>
      <c r="O9" s="26"/>
      <c r="P9" s="26"/>
      <c r="Q9" s="27"/>
      <c r="R9" s="22"/>
      <c r="S9" s="11"/>
      <c r="U9" s="96"/>
      <c r="V9" s="10"/>
      <c r="W9" s="10"/>
      <c r="X9" s="10"/>
    </row>
    <row r="10" s="1" customFormat="true" ht="12.75" hidden="false" customHeight="false" outlineLevel="0" collapsed="false">
      <c r="A10" s="28" t="s">
        <v>20</v>
      </c>
      <c r="B10" s="60"/>
      <c r="C10" s="60"/>
      <c r="D10" s="61"/>
      <c r="E10" s="60"/>
      <c r="F10" s="60"/>
      <c r="G10" s="60"/>
      <c r="H10" s="31" t="n">
        <f aca="false">SUM(H5:H6)</f>
        <v>8.214</v>
      </c>
      <c r="I10" s="31" t="n">
        <f aca="false">SUM(I5:I6)</f>
        <v>1.817</v>
      </c>
      <c r="J10" s="31" t="n">
        <f aca="false">SUM(J5:J6)</f>
        <v>8.43</v>
      </c>
      <c r="K10" s="31" t="n">
        <f aca="false">SUM(K5:K6)</f>
        <v>46.9</v>
      </c>
      <c r="L10" s="32" t="n">
        <f aca="false">J10/K10</f>
        <v>0.179744136460554</v>
      </c>
      <c r="M10" s="60"/>
      <c r="N10" s="62"/>
      <c r="O10" s="62"/>
      <c r="P10" s="62"/>
      <c r="Q10" s="60"/>
      <c r="R10" s="60"/>
      <c r="S10" s="61"/>
      <c r="T10" s="61"/>
    </row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2010-11-25T10:55:17Z</dcterms:created>
  <dc:creator>Michelle Horrigan</dc:creator>
  <dc:description/>
  <dc:language>en-US</dc:language>
  <cp:lastModifiedBy>Shyam Lakhani</cp:lastModifiedBy>
  <dcterms:modified xsi:type="dcterms:W3CDTF">2026-07-20T14:12:57Z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0x010100EC7A1802AA00BD409935ED7F9BD8B9E5</vt:lpwstr>
  </property>
  <property fmtid="{D5CDD505-2E9C-101B-9397-08002B2CF9AE}" pid="3" name="MediaServiceImageTags">
    <vt:lpwstr/>
  </property>
</Properties>
</file>