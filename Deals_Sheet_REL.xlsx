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inlineStr">
        <is>
          <t>REL Share (£m)</t>
        </is>
      </c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inlineStr">
        <is>
          <t>REL Share (£m)</t>
        </is>
      </c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 t="n">
        <v>0.4545</v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 t="n">
        <v>0.4923</v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 t="n">
        <v>0.62</v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Revised TS 14/07: 62% LTV, £6.82m, 11% fixed, 18m. Awaiting countersigned TS + fee. Broker Jignesh Desai (IPCA).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46212</v>
      </c>
      <c r="B31" s="108" t="inlineStr">
        <is>
          <t>Houndswood House Care Home, Harper Lane, Radlett WD7 7HU</t>
        </is>
      </c>
      <c r="C31" s="120" t="inlineStr">
        <is>
          <t>Care Home</t>
        </is>
      </c>
      <c r="D31" s="108" t="inlineStr">
        <is>
          <t>Anahi Properties Ltd (Hindocha)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0.86</v>
      </c>
      <c r="I31" s="122" t="n">
        <v>0.107</v>
      </c>
      <c r="J31" s="121" t="n">
        <v>0.95</v>
      </c>
      <c r="K31" s="121" t="n">
        <v>2.5</v>
      </c>
      <c r="L31" s="123" t="n">
        <v>0.38</v>
      </c>
      <c r="M31" s="120" t="n">
        <v>12</v>
      </c>
      <c r="N31" s="124" t="n">
        <v>0.1125</v>
      </c>
      <c r="O31" s="125" t="inlineStr">
        <is>
          <t>Y</t>
        </is>
      </c>
      <c r="P31" s="120" t="inlineStr">
        <is>
          <t>N</t>
        </is>
      </c>
      <c r="Q31" s="108" t="inlineStr">
        <is>
          <t>Direct</t>
        </is>
      </c>
      <c r="R31" s="108" t="inlineStr">
        <is>
          <t>TS 09/07: £0.95m, 9.75%, 12m, 38% LTV. Anahi Properties. Offer lapsed 30/07 - chase.</t>
        </is>
      </c>
    </row>
    <row r="32" ht="12.75" customHeight="1" s="105">
      <c r="A32" s="155" t="n">
        <v>46217</v>
      </c>
      <c r="B32" s="108" t="inlineStr">
        <is>
          <t>31-32 Rutland Gate &amp; 58-59 Montpelier Walk, SW7 1BN</t>
        </is>
      </c>
      <c r="C32" s="120" t="inlineStr">
        <is>
          <t>Resi (Super Prime)</t>
        </is>
      </c>
      <c r="D32" s="108" t="inlineStr">
        <is>
          <t>Four Square (Saudi investor equity)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A</t>
        </is>
      </c>
      <c r="H32" s="121" t="n"/>
      <c r="I32" s="122" t="n"/>
      <c r="J32" s="121" t="n"/>
      <c r="K32" s="121" t="n">
        <v>18.5</v>
      </c>
      <c r="L32" s="123" t="n"/>
      <c r="M32" s="120" t="n"/>
      <c r="N32" s="124" t="n"/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inlineStr">
        <is>
          <t>Enquiry 14/07; awaiting info pack. ~75% LTV acq bridge indicated. Irwell/Lee Neenan. Figures TBC.</t>
        </is>
      </c>
    </row>
    <row r="33" ht="12.75" customHeight="1" s="105">
      <c r="A33" s="155" t="n">
        <v>46220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 t="n">
        <v>0.6081</v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17/07: £90.4m gross, GDV £148.6m, 30m PBSA. Via GLPG/OakNorth. REL role TBC.</t>
        </is>
      </c>
    </row>
    <row r="34" ht="12.75" customHeight="1" s="105">
      <c r="A34" s="155" t="n">
        <v>46237</v>
      </c>
      <c r="B34" s="108" t="inlineStr">
        <is>
          <t>London Retail Parade Portfolio (5 parades, 29 units - Woodford/E17/SE13/SE12/Bexley)</t>
        </is>
      </c>
      <c r="C34" s="120" t="inlineStr">
        <is>
          <t>Mixed-use</t>
        </is>
      </c>
      <c r="D34" s="108" t="inlineStr">
        <is>
          <t>Eastway Estates Ltd (Prideview Group)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5.54</v>
      </c>
      <c r="I34" s="122" t="n">
        <v>1.06</v>
      </c>
      <c r="J34" s="121" t="n">
        <v>5.6</v>
      </c>
      <c r="K34" s="121" t="n">
        <v>8</v>
      </c>
      <c r="L34" s="123" t="n">
        <v>0.7</v>
      </c>
      <c r="M34" s="120" t="n">
        <v>18</v>
      </c>
      <c r="N34" s="124" t="n">
        <v>0.127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Indic. 05/08: £5.6m, 70% LTV, 11%, 18m. Prideview SPV via Mantra. Borrower wants 24m.</t>
        </is>
      </c>
    </row>
    <row r="35" ht="12.75" customHeight="1" s="105">
      <c r="A35" s="155" t="n">
        <v>46239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 t="n">
        <v>0.6498</v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paid; net £10.02m, 11%, 9m. City Financial Mortgages. -&gt; legals, ~early-Sept completion.</t>
        </is>
      </c>
    </row>
    <row r="36" ht="12.75" customHeight="1" s="105">
      <c r="A36" s="155" t="n">
        <v>46241</v>
      </c>
      <c r="B36" s="108" t="inlineStr">
        <is>
          <t>Flats 1 &amp; 2, De Vere Gardens, Kensington, W8</t>
        </is>
      </c>
      <c r="C36" s="120" t="inlineStr">
        <is>
          <t>Resi</t>
        </is>
      </c>
      <c r="D36" s="108" t="inlineStr">
        <is>
          <t>Ladi (via IPCA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/>
      <c r="I36" s="122" t="n"/>
      <c r="J36" s="121" t="n"/>
      <c r="K36" s="121" t="n">
        <v>4.5</v>
      </c>
      <c r="L36" s="123" t="n"/>
      <c r="M36" s="120" t="n">
        <v>12</v>
      </c>
      <c r="N36" s="124" t="n"/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Enquiry 07/08: acq from receivers £4.5m. IPCA/Jignesh Desai. Terms TBC.</t>
        </is>
      </c>
    </row>
    <row r="37" ht="15" customHeight="1" s="105">
      <c r="A37" s="155" t="n">
        <v>46244</v>
      </c>
      <c r="B37" s="108" t="inlineStr">
        <is>
          <t>Quadrant Shopping Centre, Dunstable, LU5 4RH</t>
        </is>
      </c>
      <c r="C37" s="120" t="inlineStr">
        <is>
          <t>Retail</t>
        </is>
      </c>
      <c r="D37" s="108" t="inlineStr">
        <is>
          <t>MGI Dunstable Ltd (Malhotra/Jain)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>
        <v>6.75</v>
      </c>
      <c r="I37" s="122" t="n">
        <v>0.99</v>
      </c>
      <c r="J37" s="121" t="n">
        <v>6.82</v>
      </c>
      <c r="K37" s="121" t="n">
        <v>8.52</v>
      </c>
      <c r="L37" s="123" t="n">
        <v>0.8005</v>
      </c>
      <c r="M37" s="120" t="n">
        <v>12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Indic. 12/08: £6.82m, 80% LTV, 12%, 12m. Fast Forward Capital. Borrower pushing 15m/nil-exit.</t>
        </is>
      </c>
    </row>
    <row r="38" ht="15" customHeight="1" s="105">
      <c r="A38" s="155" t="n">
        <v>46251</v>
      </c>
      <c r="B38" s="108" t="inlineStr">
        <is>
          <t>St Giles Hotel, London</t>
        </is>
      </c>
      <c r="C38" s="120" t="inlineStr">
        <is>
          <t>Hotel</t>
        </is>
      </c>
      <c r="D38" s="108" t="inlineStr">
        <is>
          <t>via Bridgemore Capital (Joe Eden)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/>
      <c r="I38" s="122" t="n"/>
      <c r="J38" s="121" t="n"/>
      <c r="K38" s="121" t="n">
        <v>31.5</v>
      </c>
      <c r="L38" s="123" t="n"/>
      <c r="M38" s="120" t="n"/>
      <c r="N38" s="124" t="n"/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Enquiry 17/08: £31.5m hotel acq, IV ~£55m. Bridgemore. Terms TBC.</t>
        </is>
      </c>
    </row>
    <row r="39" ht="12.75" customHeight="1" s="105">
      <c r="A39" s="155" t="n">
        <v>46251</v>
      </c>
      <c r="B39" s="108" t="inlineStr">
        <is>
          <t>Land loan - York (confidential)</t>
        </is>
      </c>
      <c r="C39" s="120" t="inlineStr">
        <is>
          <t>Land</t>
        </is>
      </c>
      <c r="D39" s="108" t="inlineStr">
        <is>
          <t>via GLPG (Nick Swerner)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/>
      <c r="I39" s="122" t="n"/>
      <c r="J39" s="121" t="n"/>
      <c r="K39" s="121" t="n"/>
      <c r="L39" s="123" t="n"/>
      <c r="M39" s="120" t="n"/>
      <c r="N39" s="124" t="n"/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Confidential land enquiry 17/08. GLPG/Nick Swerner. Details TBC.</t>
        </is>
      </c>
    </row>
    <row r="40" ht="13.5" customHeight="1" s="105">
      <c r="A40" s="155" t="n">
        <v>46253</v>
      </c>
      <c r="B40" s="108" t="inlineStr">
        <is>
          <t>Housing First Group / Serco portfolio (45 units/190 beds)</t>
        </is>
      </c>
      <c r="C40" s="120" t="inlineStr">
        <is>
          <t>Supported Living</t>
        </is>
      </c>
      <c r="D40" s="108" t="inlineStr">
        <is>
          <t>HFG (via GLPG - Nick Swerner)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/>
      <c r="I40" s="122" t="n"/>
      <c r="J40" s="121" t="n"/>
      <c r="K40" s="121" t="n">
        <v>11.34</v>
      </c>
      <c r="L40" s="123" t="n"/>
      <c r="M40" s="120" t="n"/>
      <c r="N40" s="124" t="n"/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TS in progress: 45 units/190 beds, MV £11.34m, Serco leases; GBB-funded. GLPG. Terms TBC.</t>
        </is>
      </c>
    </row>
    <row r="41" ht="13.5" customHeight="1" s="105">
      <c r="A41" s="155" t="n">
        <v>46254</v>
      </c>
      <c r="B41" s="108" t="inlineStr">
        <is>
          <t>26 Catherine Place, SW1E</t>
        </is>
      </c>
      <c r="C41" s="120" t="inlineStr">
        <is>
          <t>Resi</t>
        </is>
      </c>
      <c r="D41" s="108" t="inlineStr">
        <is>
          <t>via Opes (Masood Rashid)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/>
      <c r="I41" s="122" t="n"/>
      <c r="J41" s="121" t="n">
        <v>6.5</v>
      </c>
      <c r="K41" s="121" t="n"/>
      <c r="L41" s="123" t="n"/>
      <c r="M41" s="120" t="n"/>
      <c r="N41" s="124" t="n"/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Enquiry 20/08: £6.5m refinance. Opes/Masood Rashid. Terms TBC.</t>
        </is>
      </c>
    </row>
    <row r="42">
      <c r="A42" s="155" t="n">
        <v>46255</v>
      </c>
      <c r="B42" s="108" t="inlineStr">
        <is>
          <t>Cranley Hotel</t>
        </is>
      </c>
      <c r="C42" s="120" t="inlineStr">
        <is>
          <t>Hotel</t>
        </is>
      </c>
      <c r="D42" s="108" t="inlineStr">
        <is>
          <t>via BIZL (Pratik Shah)</t>
        </is>
      </c>
      <c r="E42" s="120" t="inlineStr">
        <is>
          <t>Senior</t>
        </is>
      </c>
      <c r="F42" s="120" t="inlineStr">
        <is>
          <t>Term</t>
        </is>
      </c>
      <c r="G42" s="120" t="inlineStr">
        <is>
          <t>R</t>
        </is>
      </c>
      <c r="H42" s="121" t="n"/>
      <c r="I42" s="122" t="n"/>
      <c r="J42" s="121" t="n"/>
      <c r="K42" s="121" t="n"/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Enquiry 21/08: hotel refurb-to-term, bespoke structure. BIZL. Figures TBC.</t>
        </is>
      </c>
    </row>
    <row r="43" ht="12.75" customHeight="1" s="105">
      <c r="A43" s="155" t="n">
        <v>46260</v>
      </c>
      <c r="B43" s="108" t="inlineStr">
        <is>
          <t>Centre Heights, Swiss Cottage, NW3</t>
        </is>
      </c>
      <c r="C43" s="120" t="inlineStr">
        <is>
          <t>Mixed-use</t>
        </is>
      </c>
      <c r="D43" s="108" t="inlineStr">
        <is>
          <t>via RIB (Adam Jaffe)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10.5</v>
      </c>
      <c r="I43" s="122" t="n">
        <v>2.25</v>
      </c>
      <c r="J43" s="121" t="n">
        <v>10.88</v>
      </c>
      <c r="K43" s="121" t="n">
        <v>16</v>
      </c>
      <c r="L43" s="123" t="n">
        <v>0.68</v>
      </c>
      <c r="M43" s="120" t="n">
        <v>24</v>
      </c>
      <c r="N43" s="124" t="n">
        <v>0.104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Terms 26/08: £10.88m, 68% LTV, 24m @10.35%. RIB/Adam Jaffe. Full TS to follow.</t>
        </is>
      </c>
    </row>
    <row r="44" ht="13.8" customHeight="1" s="105">
      <c r="A44" s="155" t="n">
        <v>46262</v>
      </c>
      <c r="B44" s="108" t="inlineStr">
        <is>
          <t>Thorpe End (land / planning play)</t>
        </is>
      </c>
      <c r="C44" s="120" t="inlineStr">
        <is>
          <t>Land</t>
        </is>
      </c>
      <c r="D44" s="108" t="inlineStr">
        <is>
          <t>via LS Capital (Jason Green)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>
        <v>1.52</v>
      </c>
      <c r="I44" s="122" t="n">
        <v>0.23</v>
      </c>
      <c r="J44" s="121" t="n">
        <v>1.75</v>
      </c>
      <c r="K44" s="121" t="n">
        <v>3.5</v>
      </c>
      <c r="L44" s="123" t="n">
        <v>0.5</v>
      </c>
      <c r="M44" s="120" t="n">
        <v>12</v>
      </c>
      <c r="N44" s="124" t="n">
        <v>0.13</v>
      </c>
      <c r="O44" s="125" t="inlineStr">
        <is>
          <t>Y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Terms 28/08: £1.75m, 50% LTV, ~12%, 12m (land). LS Capital/Jason Green. Negotiating price.</t>
        </is>
      </c>
    </row>
    <row r="45" ht="13.8" customHeight="1" s="105">
      <c r="A45" s="155" t="n">
        <v>46266</v>
      </c>
      <c r="B45" s="108" t="inlineStr">
        <is>
          <t>SAL Hotels Limited (operating hotel)</t>
        </is>
      </c>
      <c r="C45" s="120" t="inlineStr">
        <is>
          <t>Hotel</t>
        </is>
      </c>
      <c r="D45" s="108" t="inlineStr">
        <is>
          <t>SAL Hotels Ltd (via Mantra)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R</t>
        </is>
      </c>
      <c r="H45" s="121" t="n">
        <v>13.13</v>
      </c>
      <c r="I45" s="122" t="n">
        <v>2.3</v>
      </c>
      <c r="J45" s="121" t="n">
        <v>13.5</v>
      </c>
      <c r="K45" s="121" t="n">
        <v>22.5</v>
      </c>
      <c r="L45" s="123" t="n">
        <v>0.6</v>
      </c>
      <c r="M45" s="120" t="n">
        <v>18</v>
      </c>
      <c r="N45" s="124" t="n">
        <v>0.113</v>
      </c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Neg. 03/09: £13.5m, 60% LTV, 10.5%, 18m; refi of Hilco. Mantra. Competing bid £14m.</t>
        </is>
      </c>
    </row>
    <row r="46">
      <c r="A46" s="155" t="n">
        <v>46268</v>
      </c>
      <c r="B46" s="108" t="inlineStr">
        <is>
          <t>Resi Bridge - Aquilae (London resi, MV £11.5m)</t>
        </is>
      </c>
      <c r="C46" s="120" t="inlineStr">
        <is>
          <t>Resi</t>
        </is>
      </c>
      <c r="D46" s="108" t="inlineStr">
        <is>
          <t>via Aquilae Capital (Matthew Yassin)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A</t>
        </is>
      </c>
      <c r="H46" s="121" t="n">
        <v>6.53</v>
      </c>
      <c r="I46" s="122" t="n">
        <v>0.87</v>
      </c>
      <c r="J46" s="121" t="n">
        <v>7.4</v>
      </c>
      <c r="K46" s="121" t="n">
        <v>11.5</v>
      </c>
      <c r="L46" s="123" t="n">
        <v>0.6435</v>
      </c>
      <c r="M46" s="120" t="n">
        <v>12</v>
      </c>
      <c r="N46" s="124" t="n">
        <v>0.117</v>
      </c>
      <c r="O46" s="125" t="inlineStr">
        <is>
          <t>Y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Terms 04/09: £7.4m, 65% LTV, 10.75%, £795k IR, 12m. Aquilae/M. Yassin.</t>
        </is>
      </c>
    </row>
    <row r="47">
      <c r="A47" s="155" t="n">
        <v>46268</v>
      </c>
      <c r="B47" s="108" t="inlineStr">
        <is>
          <t>DSH Southampton &amp; Whitsand Bay Fort Holiday Village</t>
        </is>
      </c>
      <c r="C47" s="120" t="inlineStr">
        <is>
          <t>Leisure</t>
        </is>
      </c>
      <c r="D47" s="108" t="inlineStr">
        <is>
          <t>via Gemdar (Ramiah)</t>
        </is>
      </c>
      <c r="E47" s="120" t="inlineStr">
        <is>
          <t>Mezz / 2nd charge</t>
        </is>
      </c>
      <c r="F47" s="120" t="inlineStr">
        <is>
          <t>Bridge</t>
        </is>
      </c>
      <c r="G47" s="120" t="inlineStr">
        <is>
          <t>R</t>
        </is>
      </c>
      <c r="H47" s="121" t="n"/>
      <c r="I47" s="122" t="n"/>
      <c r="J47" s="121" t="n">
        <v>5</v>
      </c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Enquiry 03/09: client wants £5m 2nd charge; REL prefers wholeloan. Gemdar. Mismatch.</t>
        </is>
      </c>
    </row>
    <row r="48">
      <c r="A48" s="155" t="n">
        <v>46269</v>
      </c>
      <c r="B48" s="108" t="inlineStr">
        <is>
          <t>Project Hannah - land bridge, London</t>
        </is>
      </c>
      <c r="C48" s="120" t="inlineStr">
        <is>
          <t>Resi</t>
        </is>
      </c>
      <c r="D48" s="108" t="inlineStr">
        <is>
          <t>via BLCK Capital (Delvin Kennedy)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/>
      <c r="I48" s="122" t="n"/>
      <c r="J48" s="121" t="n"/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NDA 07/09: ~£33m resi land bridge. BLCK. REL to co-lend w/ senior - REL share TBC.</t>
        </is>
      </c>
    </row>
    <row r="49">
      <c r="A49" s="155" t="n">
        <v>46272</v>
      </c>
      <c r="B49" s="108" t="inlineStr">
        <is>
          <t>Brighton Pier</t>
        </is>
      </c>
      <c r="C49" s="120" t="inlineStr">
        <is>
          <t>Leisure</t>
        </is>
      </c>
      <c r="D49" s="108" t="inlineStr">
        <is>
          <t>via Yellowstone Finance (Dave Dixon)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>
        <v>7</v>
      </c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Enquiry 07/09: £7m purchase. Yellowstone/Dave Dixon. Awaiting details. (Poss. relates to Brighton Palace Pier row - confirm.)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0.6234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SUM(H5:H94)</f>
        <v/>
      </c>
      <c r="I96" s="130">
        <f>SUM(I5:I94)</f>
        <v/>
      </c>
      <c r="J96" s="130">
        <f>SUM(J5:J94)</f>
        <v/>
      </c>
      <c r="K96" s="130">
        <f>SUM(K5:K94)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20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Redeemed Loans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  <c r="U4" s="0" t="inlineStr">
        <is>
          <t>Introducer</t>
        </is>
      </c>
      <c r="V4" s="0" t="inlineStr">
        <is>
          <t>REL Share (£mn)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Giant Mind UK Ltd (Cohort)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1.003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 2023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Redeemed 15/12/24 (Appold St). Whole loan £21.07m with Cohort; REL share £4.214m.</t>
        </is>
      </c>
      <c r="U5" s="195" t="inlineStr">
        <is>
          <t>Alexey</t>
        </is>
      </c>
      <c r="V5" s="107" t="n">
        <v>4.214</v>
      </c>
      <c r="W5" s="107" t="n"/>
      <c r="X5" s="107" t="n"/>
    </row>
    <row r="6" ht="12.75" customFormat="1" customHeight="1" s="98">
      <c r="A6" s="108" t="inlineStr">
        <is>
          <t>72 Park St</t>
        </is>
      </c>
      <c r="B6" s="129" t="inlineStr">
        <is>
          <t>TBC</t>
        </is>
      </c>
      <c r="C6" s="120" t="n"/>
      <c r="D6" s="108" t="inlineStr">
        <is>
          <t>SSK 72 PS Limited (Icewell)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2.24</v>
      </c>
      <c r="I6" s="122" t="n">
        <v>0.524</v>
      </c>
      <c r="J6" s="121" t="n">
        <v>5.6</v>
      </c>
      <c r="K6" s="121" t="n">
        <v>8</v>
      </c>
      <c r="L6" s="123" t="n">
        <v>0.7</v>
      </c>
      <c r="M6" s="120" t="n">
        <v>9</v>
      </c>
      <c r="N6" s="124" t="n"/>
      <c r="O6" s="120" t="inlineStr">
        <is>
          <t>Mar 2024</t>
        </is>
      </c>
      <c r="P6" s="120" t="n"/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Redeemed 04/12/24. Whole loan £5.6m with Icewell; REL share £2.24m. Asset class TBC.</t>
        </is>
      </c>
      <c r="U6" s="195" t="n"/>
      <c r="V6" s="107" t="n">
        <v>2.24</v>
      </c>
      <c r="W6" s="107" t="n"/>
      <c r="X6" s="107" t="n"/>
    </row>
    <row r="7" ht="12.75" customFormat="1" customHeight="1" s="98">
      <c r="A7" s="108" t="inlineStr">
        <is>
          <t>Grove / Hick</t>
        </is>
      </c>
      <c r="B7" s="129" t="inlineStr">
        <is>
          <t>TBC</t>
        </is>
      </c>
      <c r="C7" s="120" t="n"/>
      <c r="D7" s="108" t="inlineStr">
        <is>
          <t>RAK Assets Limited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3.5775</v>
      </c>
      <c r="I7" s="122" t="n">
        <v>0.579</v>
      </c>
      <c r="J7" s="121" t="n">
        <v>3.5775</v>
      </c>
      <c r="K7" s="121" t="n">
        <v>6.345</v>
      </c>
      <c r="L7" s="123" t="n">
        <v>0.5638</v>
      </c>
      <c r="M7" s="120" t="n">
        <v>15</v>
      </c>
      <c r="N7" s="124" t="n"/>
      <c r="O7" s="120" t="inlineStr">
        <is>
          <t>Apr 2024</t>
        </is>
      </c>
      <c r="P7" s="120" t="n"/>
      <c r="Q7" s="125" t="inlineStr">
        <is>
          <t>Yes</t>
        </is>
      </c>
      <c r="R7" s="120" t="inlineStr">
        <is>
          <t>Yes</t>
        </is>
      </c>
      <c r="S7" s="108" t="inlineStr">
        <is>
          <t>Broker</t>
        </is>
      </c>
      <c r="T7" s="108" t="inlineStr">
        <is>
          <t>Redeemed 25/07/25. REL sole lender, no syndication partner.</t>
        </is>
      </c>
      <c r="U7" s="195" t="n"/>
      <c r="V7" s="107" t="n">
        <v>3.5775</v>
      </c>
      <c r="W7" s="107" t="n"/>
      <c r="X7" s="107" t="n"/>
    </row>
    <row r="8" ht="12.75" customFormat="1" customHeight="1" s="98">
      <c r="A8" s="108" t="inlineStr">
        <is>
          <t>Sunderland Doxford</t>
        </is>
      </c>
      <c r="B8" s="129" t="inlineStr">
        <is>
          <t>Office</t>
        </is>
      </c>
      <c r="C8" s="120" t="n">
        <v>1</v>
      </c>
      <c r="D8" s="108" t="inlineStr">
        <is>
          <t>Oryx 2 Real Estate (Oak North)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1.3125</v>
      </c>
      <c r="I8" s="122" t="n">
        <v>0.541</v>
      </c>
      <c r="J8" s="121" t="n">
        <v>3.75</v>
      </c>
      <c r="K8" s="121" t="n">
        <v>6.25</v>
      </c>
      <c r="L8" s="123" t="n">
        <v>0.6</v>
      </c>
      <c r="M8" s="120" t="n">
        <v>24</v>
      </c>
      <c r="N8" s="124" t="n">
        <v>0.133</v>
      </c>
      <c r="O8" s="120" t="inlineStr">
        <is>
          <t>Oct 2023</t>
        </is>
      </c>
      <c r="P8" s="120" t="inlineStr">
        <is>
          <t>N/A</t>
        </is>
      </c>
      <c r="Q8" s="125" t="inlineStr">
        <is>
          <t>Yes</t>
        </is>
      </c>
      <c r="R8" s="120" t="inlineStr">
        <is>
          <t>Yes</t>
        </is>
      </c>
      <c r="S8" s="108" t="inlineStr">
        <is>
          <t>Broker</t>
        </is>
      </c>
      <c r="T8" s="108" t="inlineStr">
        <is>
          <t>Redeemed 09/03/26. Whole loan £3.75m with Oak North; REL share £1.3125m. Supersedes the earlier £4.0m figure, which did not match the forecast model.</t>
        </is>
      </c>
      <c r="U8" s="195" t="inlineStr">
        <is>
          <t>Mantra</t>
        </is>
      </c>
      <c r="V8" s="107" t="n">
        <v>1.3125</v>
      </c>
      <c r="W8" s="107" t="n"/>
      <c r="X8" s="107" t="n"/>
    </row>
    <row r="9" ht="12.75" customFormat="1" customHeight="1" s="98">
      <c r="A9" s="108" t="n"/>
      <c r="B9" s="157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4" t="n"/>
      <c r="P9" s="124" t="n"/>
      <c r="Q9" s="125" t="n"/>
      <c r="R9" s="120" t="n"/>
      <c r="S9" s="108" t="n"/>
      <c r="U9" s="195" t="n"/>
      <c r="V9" s="107" t="n"/>
      <c r="W9" s="107" t="n"/>
      <c r="X9" s="107" t="n"/>
    </row>
    <row r="10" ht="12.75" customFormat="1" customHeight="1" s="98">
      <c r="A10" s="127" t="inlineStr">
        <is>
          <t>Total (redeemed)</t>
        </is>
      </c>
      <c r="B10" s="159" t="n"/>
      <c r="C10" s="159" t="n"/>
      <c r="D10" s="160" t="n"/>
      <c r="E10" s="159" t="n"/>
      <c r="F10" s="159" t="n"/>
      <c r="G10" s="159" t="n"/>
      <c r="H10" s="130">
        <f>SUM(H5:H8)</f>
        <v/>
      </c>
      <c r="I10" s="130">
        <f>SUM(I5:I8)</f>
        <v/>
      </c>
      <c r="J10" s="130">
        <f>SUM(J5:J8)</f>
        <v/>
      </c>
      <c r="K10" s="130">
        <f>SUM(K5:K8)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  <c r="V10" s="0">
        <f>SUM(V5:V8)</f>
        <v/>
      </c>
    </row>
    <row r="12">
      <c r="A12" s="0" t="inlineStr">
        <is>
          <t>DRAWN — NOT YET REDEEMED</t>
        </is>
      </c>
    </row>
    <row r="13">
      <c r="A13" s="111" t="inlineStr">
        <is>
          <t>Property Address</t>
        </is>
      </c>
      <c r="B13" s="112" t="inlineStr">
        <is>
          <t>Asset Class</t>
        </is>
      </c>
      <c r="C13" s="114" t="inlineStr">
        <is>
          <t>No of Units</t>
        </is>
      </c>
      <c r="D13" s="113" t="inlineStr">
        <is>
          <t>Borrower/JV Partner</t>
        </is>
      </c>
      <c r="E13" s="114" t="inlineStr">
        <is>
          <t>Senior/
Mezz/ 
Pref</t>
        </is>
      </c>
      <c r="F13" s="114" t="inlineStr">
        <is>
          <t>Deal Type</t>
        </is>
      </c>
      <c r="G13" s="114" t="n"/>
      <c r="H13" s="115" t="inlineStr">
        <is>
          <t>Net Loan (£mn)</t>
        </is>
      </c>
      <c r="I13" s="116" t="inlineStr">
        <is>
          <t>REL Return 
(£mn)</t>
        </is>
      </c>
      <c r="J13" s="115" t="inlineStr">
        <is>
          <t>Gross Loan (£mn)</t>
        </is>
      </c>
      <c r="K13" s="115" t="inlineStr">
        <is>
          <t>Collateral Value (£mn)</t>
        </is>
      </c>
      <c r="L13" s="117" t="inlineStr">
        <is>
          <t>LTV</t>
        </is>
      </c>
      <c r="M13" s="114" t="inlineStr">
        <is>
          <t>Length (Months)</t>
        </is>
      </c>
      <c r="N13" s="118" t="inlineStr">
        <is>
          <t>IRR 
Return</t>
        </is>
      </c>
      <c r="O13" s="118" t="inlineStr">
        <is>
          <t>Likely timing of drawdown</t>
        </is>
      </c>
      <c r="P13" s="118" t="inlineStr">
        <is>
          <t>PG/
Additional Security</t>
        </is>
      </c>
      <c r="Q13" s="114" t="inlineStr">
        <is>
          <t>Term Sheet Issued</t>
        </is>
      </c>
      <c r="R13" s="114" t="inlineStr">
        <is>
          <t>Commitment Fee Received</t>
        </is>
      </c>
      <c r="S13" s="113" t="inlineStr">
        <is>
          <t>Broker / Direct</t>
        </is>
      </c>
      <c r="T13" s="113" t="inlineStr">
        <is>
          <t>Comments</t>
        </is>
      </c>
      <c r="U13" s="0" t="inlineStr">
        <is>
          <t>Introducer</t>
        </is>
      </c>
      <c r="V13" s="0" t="inlineStr">
        <is>
          <t>REL Share (£mn)</t>
        </is>
      </c>
    </row>
    <row r="14">
      <c r="A14" s="108" t="inlineStr">
        <is>
          <t>Palace Green</t>
        </is>
      </c>
      <c r="B14" s="129" t="inlineStr">
        <is>
          <t>Resi</t>
        </is>
      </c>
      <c r="C14" s="120" t="n"/>
      <c r="D14" s="108" t="inlineStr">
        <is>
          <t>Ali Ansari (HNW Investor)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6.7</v>
      </c>
      <c r="I14" s="122" t="n"/>
      <c r="J14" s="121" t="n">
        <v>6.7</v>
      </c>
      <c r="K14" s="121" t="n">
        <v>16.5</v>
      </c>
      <c r="L14" s="123" t="n">
        <v>0.406</v>
      </c>
      <c r="M14" s="120" t="n">
        <v>12</v>
      </c>
      <c r="N14" s="124" t="n"/>
      <c r="O14" s="120" t="inlineStr">
        <is>
          <t>Dec 2024</t>
        </is>
      </c>
      <c r="P14" s="120" t="n"/>
      <c r="Q14" s="125" t="inlineStr">
        <is>
          <t>Yes</t>
        </is>
      </c>
      <c r="R14" s="120" t="inlineStr">
        <is>
          <t>Yes</t>
        </is>
      </c>
      <c r="S14" s="108" t="inlineStr">
        <is>
          <t>Broker</t>
        </is>
      </c>
      <c r="T14" s="108" t="inlineStr">
        <is>
          <t>Drew 20/12/24, 12-month term, expired 10/09/26. IN DEFAULT — balance accruing, now £7.064m against £6.7m advanced. REL Lendco 3 / HNW Investor. LTV 40.6% net, 54.5% gross on MV £16.5m.</t>
        </is>
      </c>
      <c r="U14" s="195" t="inlineStr">
        <is>
          <t>TBC</t>
        </is>
      </c>
      <c r="V14" s="107" t="n">
        <v>6.7</v>
      </c>
      <c r="W14" s="107" t="n"/>
      <c r="X14" s="107" t="n"/>
    </row>
    <row r="15">
      <c r="A15" s="108" t="inlineStr">
        <is>
          <t>St Clements House</t>
        </is>
      </c>
      <c r="B15" s="129" t="inlineStr">
        <is>
          <t>Office</t>
        </is>
      </c>
      <c r="C15" s="120" t="n"/>
      <c r="D15" s="108" t="inlineStr">
        <is>
          <t>Chart Forte Monument</t>
        </is>
      </c>
      <c r="E15" s="120" t="inlineStr">
        <is>
          <t>Mezz</t>
        </is>
      </c>
      <c r="F15" s="120" t="inlineStr">
        <is>
          <t>Bridge</t>
        </is>
      </c>
      <c r="G15" s="120" t="inlineStr">
        <is>
          <t>R</t>
        </is>
      </c>
      <c r="H15" s="121" t="n">
        <v>23.792</v>
      </c>
      <c r="I15" s="122" t="n"/>
      <c r="J15" s="121" t="n">
        <v>23.792</v>
      </c>
      <c r="K15" s="121" t="n">
        <v>33.3</v>
      </c>
      <c r="L15" s="123" t="n">
        <v>0.7145</v>
      </c>
      <c r="M15" s="120" t="n">
        <v>18</v>
      </c>
      <c r="N15" s="124" t="n"/>
      <c r="O15" s="120" t="inlineStr">
        <is>
          <t>Dec 2024</t>
        </is>
      </c>
      <c r="P15" s="120" t="n"/>
      <c r="Q15" s="125" t="inlineStr">
        <is>
          <t>Yes</t>
        </is>
      </c>
      <c r="R15" s="120" t="inlineStr">
        <is>
          <t>Yes</t>
        </is>
      </c>
      <c r="S15" s="108" t="inlineStr">
        <is>
          <t>Broker</t>
        </is>
      </c>
      <c r="T15" s="108" t="inlineStr">
        <is>
          <t>Drew 16/12/24, 18-month term, expired 15/06/26 — PAST MATURITY. REL Finance / Oak North; REL holds the mezz, current balance £2.144m of a £23.792m whole loan.</t>
        </is>
      </c>
      <c r="U15" s="195" t="inlineStr">
        <is>
          <t>TBC</t>
        </is>
      </c>
      <c r="V15" s="107" t="n">
        <v>2.144</v>
      </c>
      <c r="W15" s="107" t="n"/>
      <c r="X15" s="107" t="n"/>
    </row>
    <row r="16">
      <c r="A16" s="108" t="inlineStr">
        <is>
          <t>Uxbridge</t>
        </is>
      </c>
      <c r="B16" s="129" t="inlineStr">
        <is>
          <t>Mixed Use</t>
        </is>
      </c>
      <c r="C16" s="120" t="n">
        <v>481</v>
      </c>
      <c r="D16" s="108" t="inlineStr">
        <is>
          <t>DNA Property Partners</t>
        </is>
      </c>
      <c r="E16" s="120" t="inlineStr">
        <is>
          <t>Mezz</t>
        </is>
      </c>
      <c r="F16" s="120" t="inlineStr">
        <is>
          <t>Bridge</t>
        </is>
      </c>
      <c r="G16" s="120" t="inlineStr">
        <is>
          <t>R</t>
        </is>
      </c>
      <c r="H16" s="121" t="n">
        <v>8.199999999999999</v>
      </c>
      <c r="I16" s="122" t="n">
        <v>1.69</v>
      </c>
      <c r="J16" s="121" t="n">
        <v>8.199999999999999</v>
      </c>
      <c r="K16" s="121" t="n">
        <v>14</v>
      </c>
      <c r="L16" s="123" t="n">
        <v>0.5857</v>
      </c>
      <c r="M16" s="120" t="n">
        <v>12</v>
      </c>
      <c r="N16" s="124" t="n">
        <v>0.1469</v>
      </c>
      <c r="O16" s="120" t="inlineStr">
        <is>
          <t>Aug 2025</t>
        </is>
      </c>
      <c r="P16" s="120" t="inlineStr">
        <is>
          <t>No</t>
        </is>
      </c>
      <c r="Q16" s="125" t="inlineStr">
        <is>
          <t>Yes</t>
        </is>
      </c>
      <c r="R16" s="120" t="inlineStr">
        <is>
          <t>Yes</t>
        </is>
      </c>
      <c r="S16" s="108" t="inlineStr">
        <is>
          <t>Broker</t>
        </is>
      </c>
      <c r="T16" s="108" t="inlineStr">
        <is>
          <t>Drew 01/08/25, 12-month term. NOT redeemed — past maturity 31/07/26, default / extension underway; model runs to 31/07/27. REL Lendco 4 / GB Bank; REL holds the mezz £2.05m of an £8.2m whole loan.</t>
        </is>
      </c>
      <c r="U16" s="195" t="inlineStr">
        <is>
          <t>Jay Bohgal</t>
        </is>
      </c>
      <c r="V16" s="107" t="n">
        <v>2.05</v>
      </c>
      <c r="W16" s="107" t="n"/>
      <c r="X16" s="107" t="n"/>
    </row>
    <row r="17">
      <c r="A17" s="108" t="inlineStr">
        <is>
          <t>Stanmore</t>
        </is>
      </c>
      <c r="B17" s="129" t="inlineStr">
        <is>
          <t>Retirement living</t>
        </is>
      </c>
      <c r="C17" s="120" t="n">
        <v>23</v>
      </c>
      <c r="D17" s="108" t="inlineStr">
        <is>
          <t>Elysian Stanmore Site</t>
        </is>
      </c>
      <c r="E17" s="120" t="inlineStr">
        <is>
          <t>Mezz</t>
        </is>
      </c>
      <c r="F17" s="120" t="inlineStr">
        <is>
          <t>Bridge</t>
        </is>
      </c>
      <c r="G17" s="120" t="inlineStr">
        <is>
          <t>R</t>
        </is>
      </c>
      <c r="H17" s="121" t="n">
        <v>16.64</v>
      </c>
      <c r="I17" s="122" t="n">
        <v>2.244</v>
      </c>
      <c r="J17" s="121" t="n">
        <v>16.64</v>
      </c>
      <c r="K17" s="121" t="n">
        <v>22.53</v>
      </c>
      <c r="L17" s="123" t="n">
        <v>0.739</v>
      </c>
      <c r="M17" s="120" t="n">
        <v>15</v>
      </c>
      <c r="N17" s="124" t="n">
        <v>0.123</v>
      </c>
      <c r="O17" s="120" t="inlineStr">
        <is>
          <t>Sep 2025</t>
        </is>
      </c>
      <c r="P17" s="120" t="inlineStr">
        <is>
          <t>N</t>
        </is>
      </c>
      <c r="Q17" s="125" t="inlineStr">
        <is>
          <t>Yes</t>
        </is>
      </c>
      <c r="R17" s="120" t="inlineStr">
        <is>
          <t>Yes</t>
        </is>
      </c>
      <c r="S17" s="108" t="inlineStr">
        <is>
          <t>Direct</t>
        </is>
      </c>
      <c r="T17" s="108" t="inlineStr">
        <is>
          <t>Drew 17/09/25, 15-month term to 17/03/27. Amortising via unit sales, whole-loan balance £12.04m. REL Lendco 5 / Oak North; REL mezz £4.39m, current balance £3.195m.</t>
        </is>
      </c>
      <c r="U17" s="195" t="inlineStr">
        <is>
          <t>Deepesh</t>
        </is>
      </c>
      <c r="V17" s="107" t="n">
        <v>4.39</v>
      </c>
      <c r="W17" s="107" t="n"/>
      <c r="X17" s="107" t="n"/>
    </row>
    <row r="18">
      <c r="A18" s="108" t="inlineStr">
        <is>
          <t>Peninsular House</t>
        </is>
      </c>
      <c r="B18" s="129" t="inlineStr">
        <is>
          <t>Office</t>
        </is>
      </c>
      <c r="C18" s="120" t="n"/>
      <c r="D18" s="108" t="inlineStr">
        <is>
          <t>Peninsular House (sponsor JMK)</t>
        </is>
      </c>
      <c r="E18" s="120" t="inlineStr">
        <is>
          <t>Mezz</t>
        </is>
      </c>
      <c r="F18" s="120" t="inlineStr">
        <is>
          <t>Bridge</t>
        </is>
      </c>
      <c r="G18" s="120" t="inlineStr">
        <is>
          <t>A</t>
        </is>
      </c>
      <c r="H18" s="121" t="n">
        <v>25.025</v>
      </c>
      <c r="I18" s="122" t="n"/>
      <c r="J18" s="121" t="n">
        <v>25.025</v>
      </c>
      <c r="K18" s="121" t="n">
        <v>35</v>
      </c>
      <c r="L18" s="123" t="n">
        <v>0.715</v>
      </c>
      <c r="M18" s="120" t="n">
        <v>24</v>
      </c>
      <c r="N18" s="124" t="n"/>
      <c r="O18" s="120" t="inlineStr">
        <is>
          <t>Mar 2026</t>
        </is>
      </c>
      <c r="P18" s="120" t="n"/>
      <c r="Q18" s="125" t="inlineStr">
        <is>
          <t>Yes</t>
        </is>
      </c>
      <c r="R18" s="120" t="inlineStr">
        <is>
          <t>Yes</t>
        </is>
      </c>
      <c r="S18" s="108" t="inlineStr">
        <is>
          <t>Broker</t>
        </is>
      </c>
      <c r="T18" s="108" t="inlineStr">
        <is>
          <t>Drew 13/03/26, 24-month term to 12/03/28. Newest loan. REL Finance / Oak North; REL mezz £3.15m of a £25.025m whole loan. LTV 71.5% on MV £35m.</t>
        </is>
      </c>
      <c r="U18" s="195" t="inlineStr">
        <is>
          <t>TBC</t>
        </is>
      </c>
      <c r="V18" s="107" t="n">
        <v>3.15</v>
      </c>
      <c r="W18" s="107" t="n"/>
      <c r="X18" s="107" t="n"/>
    </row>
    <row r="20">
      <c r="A20" t="inlineStr">
        <is>
          <t>Total (drawn)</t>
        </is>
      </c>
      <c r="H20">
        <f>SUM(H14:H18)</f>
        <v/>
      </c>
      <c r="I20">
        <f>SUM(I14:I18)</f>
        <v/>
      </c>
      <c r="J20">
        <f>SUM(J14:J18)</f>
        <v/>
      </c>
      <c r="K20">
        <f>SUM(K14:K18)</f>
        <v/>
      </c>
      <c r="L20">
        <f>J20/K20</f>
        <v/>
      </c>
      <c r="V20">
        <f>SUM(V14:V18)</f>
        <v/>
      </c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2026-09-17T14:19:47Z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